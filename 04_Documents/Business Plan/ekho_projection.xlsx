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natholemauguy/Documents/Claude/Projects/Ekho/Business Plan/"/>
    </mc:Choice>
  </mc:AlternateContent>
  <xr:revisionPtr revIDLastSave="0" documentId="13_ncr:1_{3D16683F-7C93-0348-9899-3D7DE82CF74D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Roadmap produit" sheetId="1" r:id="rId1"/>
    <sheet name="Projections financieres" sheetId="2" r:id="rId2"/>
    <sheet name="Pricing Utilisateurs" sheetId="3" r:id="rId3"/>
    <sheet name="Pricing Lieux" sheetId="4" r:id="rId4"/>
    <sheet name="Trajectoire geographique" sheetId="5" r:id="rId5"/>
    <sheet name="Vision &amp; These" sheetId="6" r:id="rId6"/>
    <sheet name="Inputs V2" sheetId="7" r:id="rId7"/>
    <sheet name="Projections V2" sheetId="8" r:id="rId8"/>
    <sheet name="Dashboard V2" sheetId="9" r:id="rId9"/>
    <sheet name="Validation 0-90j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8" l="1"/>
  <c r="E35" i="8"/>
  <c r="D35" i="8"/>
  <c r="C35" i="8"/>
  <c r="B35" i="8"/>
  <c r="F29" i="8"/>
  <c r="E29" i="8"/>
  <c r="D29" i="8"/>
  <c r="C29" i="8"/>
  <c r="B29" i="8"/>
  <c r="F28" i="8"/>
  <c r="E28" i="8"/>
  <c r="D28" i="8"/>
  <c r="C28" i="8"/>
  <c r="B28" i="8"/>
  <c r="F27" i="8"/>
  <c r="E27" i="8"/>
  <c r="D27" i="8"/>
  <c r="C27" i="8"/>
  <c r="B27" i="8"/>
  <c r="F26" i="8"/>
  <c r="E26" i="8"/>
  <c r="D26" i="8"/>
  <c r="C26" i="8"/>
  <c r="B26" i="8"/>
  <c r="F14" i="8"/>
  <c r="E14" i="8"/>
  <c r="D14" i="8"/>
  <c r="C14" i="8"/>
  <c r="B14" i="8"/>
  <c r="F7" i="8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D7" i="5"/>
  <c r="D6" i="5"/>
  <c r="D5" i="5"/>
  <c r="D4" i="5"/>
  <c r="D3" i="5"/>
  <c r="F27" i="2"/>
  <c r="E27" i="2"/>
  <c r="D27" i="2"/>
  <c r="C27" i="2"/>
  <c r="B27" i="2"/>
  <c r="F18" i="2"/>
  <c r="E18" i="2"/>
  <c r="D18" i="2"/>
  <c r="C18" i="2"/>
  <c r="B18" i="2"/>
  <c r="F9" i="2"/>
  <c r="E9" i="2"/>
  <c r="D9" i="2"/>
  <c r="C9" i="2"/>
  <c r="B9" i="2"/>
  <c r="F6" i="2"/>
  <c r="E6" i="2"/>
  <c r="D6" i="2"/>
  <c r="C6" i="2"/>
  <c r="B6" i="2"/>
  <c r="E19" i="2" l="1"/>
  <c r="F36" i="8"/>
  <c r="E36" i="8"/>
  <c r="D36" i="8"/>
  <c r="C36" i="8"/>
  <c r="E30" i="8"/>
  <c r="D30" i="8"/>
  <c r="C30" i="8"/>
  <c r="B30" i="8"/>
  <c r="C9" i="8"/>
  <c r="B9" i="8"/>
  <c r="F8" i="8"/>
  <c r="E8" i="8"/>
  <c r="D8" i="8"/>
  <c r="C8" i="8"/>
  <c r="B8" i="8"/>
  <c r="F30" i="8"/>
  <c r="D19" i="2"/>
  <c r="C19" i="2"/>
  <c r="B19" i="2"/>
  <c r="C10" i="2"/>
  <c r="B36" i="8"/>
  <c r="F17" i="8"/>
  <c r="E17" i="8"/>
  <c r="D17" i="8"/>
  <c r="C17" i="8"/>
  <c r="B17" i="8"/>
  <c r="E16" i="8"/>
  <c r="D16" i="8"/>
  <c r="C16" i="8"/>
  <c r="B16" i="8"/>
  <c r="F15" i="8"/>
  <c r="E15" i="8"/>
  <c r="D15" i="8"/>
  <c r="C15" i="8"/>
  <c r="B15" i="8"/>
  <c r="F9" i="8"/>
  <c r="E9" i="8"/>
  <c r="D9" i="8"/>
  <c r="F22" i="2"/>
  <c r="E22" i="2"/>
  <c r="D22" i="2"/>
  <c r="C22" i="2"/>
  <c r="B22" i="2"/>
  <c r="F19" i="2"/>
  <c r="B10" i="2"/>
  <c r="F16" i="8"/>
  <c r="F10" i="2"/>
  <c r="E10" i="2"/>
  <c r="D10" i="2"/>
  <c r="E19" i="8" l="1"/>
  <c r="E20" i="8" s="1"/>
  <c r="C23" i="2"/>
  <c r="B23" i="2"/>
  <c r="E23" i="2"/>
  <c r="D23" i="2"/>
  <c r="F18" i="8"/>
  <c r="C19" i="8"/>
  <c r="C20" i="8" s="1"/>
  <c r="B19" i="8"/>
  <c r="B20" i="8" s="1"/>
  <c r="C10" i="8"/>
  <c r="C11" i="8" s="1"/>
  <c r="B10" i="8"/>
  <c r="B11" i="8" s="1"/>
  <c r="C18" i="8"/>
  <c r="F23" i="2"/>
  <c r="E18" i="8"/>
  <c r="D18" i="8"/>
  <c r="B18" i="8"/>
  <c r="D19" i="8"/>
  <c r="D20" i="8" s="1"/>
  <c r="F19" i="8"/>
  <c r="F20" i="8" s="1"/>
  <c r="F10" i="8"/>
  <c r="F11" i="8" s="1"/>
  <c r="E10" i="8"/>
  <c r="E11" i="8" s="1"/>
  <c r="D10" i="8"/>
  <c r="D11" i="8" s="1"/>
  <c r="C25" i="8" l="1"/>
  <c r="C31" i="8" s="1"/>
  <c r="C5" i="9" s="1"/>
  <c r="C23" i="8"/>
  <c r="B23" i="8"/>
  <c r="B25" i="8"/>
  <c r="B31" i="8" s="1"/>
  <c r="F25" i="8"/>
  <c r="F31" i="8" s="1"/>
  <c r="F5" i="9" s="1"/>
  <c r="F23" i="8"/>
  <c r="E25" i="8"/>
  <c r="E31" i="8" s="1"/>
  <c r="E5" i="9" s="1"/>
  <c r="E23" i="8"/>
  <c r="D25" i="8"/>
  <c r="D31" i="8" s="1"/>
  <c r="D5" i="9" s="1"/>
  <c r="D23" i="8"/>
  <c r="C37" i="8" l="1"/>
  <c r="B24" i="8"/>
  <c r="C4" i="9"/>
  <c r="C24" i="8"/>
  <c r="B37" i="8"/>
  <c r="B4" i="9"/>
  <c r="B32" i="8"/>
  <c r="C32" i="8" s="1"/>
  <c r="D32" i="8" s="1"/>
  <c r="E32" i="8" s="1"/>
  <c r="F32" i="8" s="1"/>
  <c r="B5" i="9"/>
  <c r="F24" i="8"/>
  <c r="F4" i="9"/>
  <c r="F37" i="8"/>
  <c r="E24" i="8"/>
  <c r="E4" i="9"/>
  <c r="E37" i="8"/>
  <c r="D24" i="8"/>
  <c r="D4" i="9"/>
  <c r="D37" i="8"/>
</calcChain>
</file>

<file path=xl/sharedStrings.xml><?xml version="1.0" encoding="utf-8"?>
<sst xmlns="http://schemas.openxmlformats.org/spreadsheetml/2006/main" count="520" uniqueCount="350">
  <si>
    <t>ekho — Roadmap Produit &amp; Monetisation</t>
  </si>
  <si>
    <t>Etape</t>
  </si>
  <si>
    <t>Roadmap produit</t>
  </si>
  <si>
    <t>Monetisation</t>
  </si>
  <si>
    <t>Objectifs</t>
  </si>
  <si>
    <t>T1 — MVP</t>
  </si>
  <si>
    <t>Recommandation lieux selon le mood, onboarding, partenaires gratuits</t>
  </si>
  <si>
    <t>Aucune</t>
  </si>
  <si>
    <t>Valider l'usage, recruter premiers utilisateurs &amp; partenaires</t>
  </si>
  <si>
    <t>T2 — Lancement</t>
  </si>
  <si>
    <t>Affluence lieux, presence anonyme, favoris, fiches partenaires</t>
  </si>
  <si>
    <t>Starter 49 EUR/mois</t>
  </si>
  <si>
    <t>10 000 utilisateurs, 40 partenaires</t>
  </si>
  <si>
    <t>T3 — Premium v1</t>
  </si>
  <si>
    <t>Recherche avancee, recherches illimitees, filtres avances</t>
  </si>
  <si>
    <t>Plus 4,99 EUR/mois</t>
  </si>
  <si>
    <t>1,2 % de conversion payante</t>
  </si>
  <si>
    <t>T4 — Premium v2</t>
  </si>
  <si>
    <t>Recommandations IA, notifications intelligentes, suggestions contextuelles</t>
  </si>
  <si>
    <t>Premium 15 EUR/mois</t>
  </si>
  <si>
    <t>2 % de conversion payante</t>
  </si>
  <si>
    <t>Annee 2</t>
  </si>
  <si>
    <t>Promotions ciblees, gestion heures creuses, analytics partenaires</t>
  </si>
  <si>
    <t>Growth 99 EUR/mois</t>
  </si>
  <si>
    <t>Conversion des partenaires gratuits</t>
  </si>
  <si>
    <t>Annee 3</t>
  </si>
  <si>
    <t>IA predictive, analyses avancees, benchmark, reco business</t>
  </si>
  <si>
    <t>Insight 199 EUR/mois</t>
  </si>
  <si>
    <t>Forte hausse de l'ARPU partenaires</t>
  </si>
  <si>
    <t>Annee 4+</t>
  </si>
  <si>
    <t>Multi-villes, IA temps reel, API, offres Enterprise</t>
  </si>
  <si>
    <t>Enterprise</t>
  </si>
  <si>
    <t>Changement d'echelle</t>
  </si>
  <si>
    <t>ekho — Projections Financieres 5 ans</t>
  </si>
  <si>
    <t>Hypotheses (cellules bleues = inputs modifiables)</t>
  </si>
  <si>
    <t/>
  </si>
  <si>
    <t>An 1</t>
  </si>
  <si>
    <t>An 2</t>
  </si>
  <si>
    <t>An 3</t>
  </si>
  <si>
    <t>An 4</t>
  </si>
  <si>
    <t>An 5</t>
  </si>
  <si>
    <t>Notes</t>
  </si>
  <si>
    <t>UTILISATEURS</t>
  </si>
  <si>
    <t>Utilisateurs totaux</t>
  </si>
  <si>
    <t>Source: objectifs BP</t>
  </si>
  <si>
    <t xml:space="preserve">  dont Gratuit</t>
  </si>
  <si>
    <t>Totaux - Plus - Premium</t>
  </si>
  <si>
    <t xml:space="preserve">  dont Plus (4,99 EUR)</t>
  </si>
  <si>
    <t>1,2% -&gt; 3% -&gt; 4%</t>
  </si>
  <si>
    <t xml:space="preserve">  dont Premium (15 EUR)</t>
  </si>
  <si>
    <t>0,8% -&gt; 2% -&gt; 3%</t>
  </si>
  <si>
    <t>CA B2C mensuel (EUR)</t>
  </si>
  <si>
    <t>Plus*4,99 + Premium*15</t>
  </si>
  <si>
    <t>CA B2C annuel (EUR)</t>
  </si>
  <si>
    <t>Mensuel * 12</t>
  </si>
  <si>
    <t>PARTENAIRES</t>
  </si>
  <si>
    <t>Partenaires totaux</t>
  </si>
  <si>
    <t>Trajectoire prudente</t>
  </si>
  <si>
    <t xml:space="preserve">  dont Starter (49 EUR)</t>
  </si>
  <si>
    <t xml:space="preserve">  dont Growth (99 EUR)</t>
  </si>
  <si>
    <t xml:space="preserve">  dont Insight (199 EUR)</t>
  </si>
  <si>
    <t>CA B2B mensuel (EUR)</t>
  </si>
  <si>
    <t>Starter*49 + Growth*99 + Insight*199</t>
  </si>
  <si>
    <t>CA B2B annuel (EUR)</t>
  </si>
  <si>
    <t>TOTAL</t>
  </si>
  <si>
    <t>CA mensuel total (EUR)</t>
  </si>
  <si>
    <t>B2C mensuel + B2B mensuel</t>
  </si>
  <si>
    <t>CA annuel total (EUR)</t>
  </si>
  <si>
    <t>B2C annuel + B2B annuel</t>
  </si>
  <si>
    <t>GEOGRAPHIE</t>
  </si>
  <si>
    <t>Villes couvertes</t>
  </si>
  <si>
    <t>Partenaires / ville (moy)</t>
  </si>
  <si>
    <t>Partenaires / Villes</t>
  </si>
  <si>
    <t>ekho — Offres Utilisateurs</t>
  </si>
  <si>
    <t>Fonctionnalite</t>
  </si>
  <si>
    <t>Gratuit</t>
  </si>
  <si>
    <t>Plus — 4,99 EUR/mois</t>
  </si>
  <si>
    <t>Premium — 9,99 à 14,99 EUR/mois (à tester)</t>
  </si>
  <si>
    <t>Recommandations selon le mood</t>
  </si>
  <si>
    <t>Oui</t>
  </si>
  <si>
    <t>Propositions de lieux / recherche</t>
  </si>
  <si>
    <t>Illimitees</t>
  </si>
  <si>
    <t>Recherches / jour</t>
  </si>
  <si>
    <t>Voir l'ambiance du lieu</t>
  </si>
  <si>
    <t>Voir l'affluence estimee</t>
  </si>
  <si>
    <t>Voir les personnes ouvertes a echanger</t>
  </si>
  <si>
    <t>Favoris</t>
  </si>
  <si>
    <t>Recherche IA langage naturel</t>
  </si>
  <si>
    <t>-</t>
  </si>
  <si>
    <t>Filtres avances (terrasse, wifi...)</t>
  </si>
  <si>
    <t>Historique &amp; collections</t>
  </si>
  <si>
    <t>Acces anticipe aux nouveautes</t>
  </si>
  <si>
    <t>Recherches illimitees</t>
  </si>
  <si>
    <t>Signaux détaillés de présence via ekho</t>
  </si>
  <si>
    <t>Affluence temps reel precise</t>
  </si>
  <si>
    <t>Recommandations IA proactives</t>
  </si>
  <si>
    <t>Notifications intelligentes</t>
  </si>
  <si>
    <t>Suggestions selon les habitudes</t>
  </si>
  <si>
    <t>Règle produit</t>
  </si>
  <si>
    <t>Ne pas cacher la valeur de base derrière le paywall</t>
  </si>
  <si>
    <t>Le payant augmente le confort</t>
  </si>
  <si>
    <t>Premium = usage intensif, pas accès vital</t>
  </si>
  <si>
    <t>Point de vigilance</t>
  </si>
  <si>
    <t>Le gratuit doit suffire à créer l'habitude</t>
  </si>
  <si>
    <t>Plus doit réduire la friction</t>
  </si>
  <si>
    <t>Premium doit rester optionnel</t>
  </si>
  <si>
    <t>ekho — Offres Lieux Partenaires</t>
  </si>
  <si>
    <t>Starter — 49 EUR/mois</t>
  </si>
  <si>
    <t>Growth — 99 EUR/mois</t>
  </si>
  <si>
    <t>Insight — 199 EUR/mois</t>
  </si>
  <si>
    <t>Presence sur ekho</t>
  </si>
  <si>
    <t>Fiche etablissement (photos, horaires)</t>
  </si>
  <si>
    <t>Apparition dans les recommandations</t>
  </si>
  <si>
    <t>Modifier les informations du lieu</t>
  </si>
  <si>
    <t>Gestion photos &amp; evenements</t>
  </si>
  <si>
    <t>Campagnes locales / heures creuses (sans modifier le ranking)</t>
  </si>
  <si>
    <t>Basique</t>
  </si>
  <si>
    <t>Avancee</t>
  </si>
  <si>
    <t>Prioritaire mais separee des recommandations neutres</t>
  </si>
  <si>
    <t>Statistiques de base (vues, clics)</t>
  </si>
  <si>
    <t>Mise a jour ambiance temps reel</t>
  </si>
  <si>
    <t>Promotions ciblees &amp; Happy Hours</t>
  </si>
  <si>
    <t>Mise en avant heures creuses auto</t>
  </si>
  <si>
    <t>Nombre de visites generees</t>
  </si>
  <si>
    <t>Taux conversion vues -&gt; visites</t>
  </si>
  <si>
    <t>Tableau de bord frequentation</t>
  </si>
  <si>
    <t>Dashboard analytique complet</t>
  </si>
  <si>
    <t>Analyse moods des visiteurs</t>
  </si>
  <si>
    <t>Temps moyen de presence</t>
  </si>
  <si>
    <t>Comparaison semaine / mois</t>
  </si>
  <si>
    <t>Recommandations IA (creneaux, ambiance)</t>
  </si>
  <si>
    <t>Export des donnees</t>
  </si>
  <si>
    <t>Principe de confiance</t>
  </si>
  <si>
    <t>Les recommandations restent neutres</t>
  </si>
  <si>
    <t>Pas de pay-to-rank</t>
  </si>
  <si>
    <t>La visibilite payante est marquee</t>
  </si>
  <si>
    <t>Le ranking protege l'utilisateur</t>
  </si>
  <si>
    <t>Vraie valeur B2B</t>
  </si>
  <si>
    <t>Stats de demande locale</t>
  </si>
  <si>
    <t>Activation des heures creuses</t>
  </si>
  <si>
    <t>Moods &amp; affluence</t>
  </si>
  <si>
    <t>Benchmark et decisions business</t>
  </si>
  <si>
    <t>Risque a eviter</t>
  </si>
  <si>
    <t>Transformer ekho en annuaire sponsorise</t>
  </si>
  <si>
    <t>Perdre la confiance</t>
  </si>
  <si>
    <t>Baisser la qualite percue</t>
  </si>
  <si>
    <t>Detruire la defensibilite</t>
  </si>
  <si>
    <t>ekho — Trajectoire Geographique (objectifs prudents)</t>
  </si>
  <si>
    <t>Annee</t>
  </si>
  <si>
    <t>Villes</t>
  </si>
  <si>
    <t>Partenaires</t>
  </si>
  <si>
    <t>Marseille — MVP &amp; validation usage</t>
  </si>
  <si>
    <t>+ Lyon, Bordeaux</t>
  </si>
  <si>
    <t>+ Paris, Toulouse, Nice, Nantes, Lille</t>
  </si>
  <si>
    <t>Couverture nationale dense</t>
  </si>
  <si>
    <t>Saturation principale FR, preparer export EU</t>
  </si>
  <si>
    <t>ekho — Vision, these et moat</t>
  </si>
  <si>
    <t>These centrale</t>
  </si>
  <si>
    <t>ekho construit la carte vivante des moods, des lieux et des presences en ville.</t>
  </si>
  <si>
    <t>Phase</t>
  </si>
  <si>
    <t>Objectif</t>
  </si>
  <si>
    <t>Critere de passage</t>
  </si>
  <si>
    <t>Formulation faible</t>
  </si>
  <si>
    <t>Une app qui recommande des lieux selon ton mood.</t>
  </si>
  <si>
    <t>0-90 jours</t>
  </si>
  <si>
    <t>Prouver l'usage a Marseille</t>
  </si>
  <si>
    <t>30% des sessions menent a une action</t>
  </si>
  <si>
    <t>Formulation forte</t>
  </si>
  <si>
    <t>Une infrastructure locale qui comprend ou les gens veulent aller, a quel moment, dans quel etat d'esprit, et dans quels lieux la ville est vraiment vivante.</t>
  </si>
  <si>
    <t>3-6 mois</t>
  </si>
  <si>
    <t>Prouver la densite locale</t>
  </si>
  <si>
    <t>40 lieux, 10 actifs chaque semaine</t>
  </si>
  <si>
    <t>6-12 mois</t>
  </si>
  <si>
    <t>Prouver la valeur B2B</t>
  </si>
  <si>
    <t>10 lieux prets a payer apres test</t>
  </si>
  <si>
    <t>Ce qui doit devenir proprietaire</t>
  </si>
  <si>
    <t>Demandes de moods par zone et par heure</t>
  </si>
  <si>
    <t>Repliquer dans 2 villes</t>
  </si>
  <si>
    <t>CAC partenaire et onboarding standardises</t>
  </si>
  <si>
    <t>Signaux d'ambiance et d'affluence des lieux</t>
  </si>
  <si>
    <t>Creer l'avantage data</t>
  </si>
  <si>
    <t>Insights utiles impossibles a obtenir via Google/Instagram</t>
  </si>
  <si>
    <t>Presences anonymes et ouverture sociale</t>
  </si>
  <si>
    <t>Historique des lieux choisis, refuses, sauvegardes</t>
  </si>
  <si>
    <t>Ce que je ferais</t>
  </si>
  <si>
    <t>Je lancerais en ville unique avec densite forte avant d'elargir.</t>
  </si>
  <si>
    <t>Performance des lieux par moment de la semaine</t>
  </si>
  <si>
    <t>Ce que je ne ferais pas</t>
  </si>
  <si>
    <t>Je ne construirais pas l'IA avancee avant d'avoir de vrais signaux.</t>
  </si>
  <si>
    <t>Priorite</t>
  </si>
  <si>
    <t>Habitude utilisateur + activite partenaire + donnee proprietaire.</t>
  </si>
  <si>
    <t>Pourquoi c'est defensible</t>
  </si>
  <si>
    <t>La valeur vient de la densite locale et de la donnee comportementale, pas de la fiche etablissement.</t>
  </si>
  <si>
    <t>Risque principal</t>
  </si>
  <si>
    <t>Si les lieux peuvent payer pour remonter dans les recommandations, ekho perd sa promesse utilisateur.</t>
  </si>
  <si>
    <t>Decision produit</t>
  </si>
  <si>
    <t>Les recommandations restent neutres. La monetisation lieux porte sur analytics, heures creuses, campagnes separees, insights.</t>
  </si>
  <si>
    <t>North Star Metric</t>
  </si>
  <si>
    <t>Nombre de decisions de sortie reussies par semaine dans une ville donnee.</t>
  </si>
  <si>
    <t>KPI 1</t>
  </si>
  <si>
    <t>% de sessions qui finissent par un lieu sauvegarde, appele, ouvert ou rejoint</t>
  </si>
  <si>
    <t>KPI 2</t>
  </si>
  <si>
    <t>% de lieux partenaires actifs chaque semaine</t>
  </si>
  <si>
    <t>ekho — Inputs modifiables V2</t>
  </si>
  <si>
    <t>Prix &amp; marges</t>
  </si>
  <si>
    <t>Valeur</t>
  </si>
  <si>
    <t>Note</t>
  </si>
  <si>
    <t>Plus prix mensuel</t>
  </si>
  <si>
    <t>Prix credible pour usage regulier</t>
  </si>
  <si>
    <t>Premium prix mensuel</t>
  </si>
  <si>
    <t>Tester 9,99 avant 14,99/15</t>
  </si>
  <si>
    <t>Starter prix mensuel</t>
  </si>
  <si>
    <t>Fiche + gestion simple</t>
  </si>
  <si>
    <t>Growth prix mensuel</t>
  </si>
  <si>
    <t>Activation heures creuses + stats</t>
  </si>
  <si>
    <t>Insight prix mensuel</t>
  </si>
  <si>
    <t>Analytics avancees + benchmark</t>
  </si>
  <si>
    <t>Marge brute B2C</t>
  </si>
  <si>
    <t>App + paiement + support</t>
  </si>
  <si>
    <t>Marge brute B2B</t>
  </si>
  <si>
    <t>Support partenaire + data ops</t>
  </si>
  <si>
    <t>Churn mensuel utilisateurs payants</t>
  </si>
  <si>
    <t>A tester</t>
  </si>
  <si>
    <t>Hypotheses par annee</t>
  </si>
  <si>
    <t>Utilisateurs actifs</t>
  </si>
  <si>
    <t>Conversion Plus</t>
  </si>
  <si>
    <t>Conversion Premium</t>
  </si>
  <si>
    <t>% Starter</t>
  </si>
  <si>
    <t>% Growth</t>
  </si>
  <si>
    <t>% Insight</t>
  </si>
  <si>
    <t>Equipe / salaires annuels</t>
  </si>
  <si>
    <t>Marketing annuel</t>
  </si>
  <si>
    <t>Tech + G&amp;A annuel</t>
  </si>
  <si>
    <t>Budget data / ops lieux</t>
  </si>
  <si>
    <t>ekho — Projections V2 avec couts, churn et logique investisseur</t>
  </si>
  <si>
    <t>Metric</t>
  </si>
  <si>
    <t>Pourquoi c'est utile</t>
  </si>
  <si>
    <t>Base de densite locale</t>
  </si>
  <si>
    <t>A ne pas surestimer</t>
  </si>
  <si>
    <t>Utilisateurs Plus</t>
  </si>
  <si>
    <t>Volume payant basique</t>
  </si>
  <si>
    <t>Utilisateurs Premium</t>
  </si>
  <si>
    <t>Usage intensif</t>
  </si>
  <si>
    <t>CA B2C mensuel</t>
  </si>
  <si>
    <t>MRR utilisateurs</t>
  </si>
  <si>
    <t>CA B2C annuel</t>
  </si>
  <si>
    <t>ARR utilisateurs</t>
  </si>
  <si>
    <t>Densite ville</t>
  </si>
  <si>
    <t>Starter</t>
  </si>
  <si>
    <t>Entree B2B</t>
  </si>
  <si>
    <t>Growth</t>
  </si>
  <si>
    <t>Offre coeur</t>
  </si>
  <si>
    <t>Insight</t>
  </si>
  <si>
    <t>Upsell data</t>
  </si>
  <si>
    <t>Gratuits</t>
  </si>
  <si>
    <t>Pipeline partenaire</t>
  </si>
  <si>
    <t>CA B2B mensuel</t>
  </si>
  <si>
    <t>MRR lieux</t>
  </si>
  <si>
    <t>CA B2B annuel</t>
  </si>
  <si>
    <t>ARR lieux</t>
  </si>
  <si>
    <t>ECONOMIE</t>
  </si>
  <si>
    <t>CA annuel total</t>
  </si>
  <si>
    <t>Topline</t>
  </si>
  <si>
    <t>% CA B2B</t>
  </si>
  <si>
    <t>Dependance lieux</t>
  </si>
  <si>
    <t>Marge brute</t>
  </si>
  <si>
    <t>Avant OPEX</t>
  </si>
  <si>
    <t>Equipe / salaires</t>
  </si>
  <si>
    <t>Execution produit/commerciale</t>
  </si>
  <si>
    <t>Marketing</t>
  </si>
  <si>
    <t>Acquisition</t>
  </si>
  <si>
    <t>Tech + G&amp;A</t>
  </si>
  <si>
    <t>Infrastructure</t>
  </si>
  <si>
    <t>Data / ops lieux</t>
  </si>
  <si>
    <t>Qualite terrain</t>
  </si>
  <si>
    <t>Total OPEX</t>
  </si>
  <si>
    <t>Couts annuels</t>
  </si>
  <si>
    <t>EBITDA</t>
  </si>
  <si>
    <t>Profitabilite operationnelle</t>
  </si>
  <si>
    <t>Besoin de cash cumule</t>
  </si>
  <si>
    <t>Financement approximatif</t>
  </si>
  <si>
    <t>Expansion</t>
  </si>
  <si>
    <t>Partenaires / ville</t>
  </si>
  <si>
    <t>Densite moyenne</t>
  </si>
  <si>
    <t>ARR / ville</t>
  </si>
  <si>
    <t>Qualite expansion</t>
  </si>
  <si>
    <t>ekho — Dashboard decisionnel V2</t>
  </si>
  <si>
    <t>Decision</t>
  </si>
  <si>
    <t>Lecture</t>
  </si>
  <si>
    <t>Demarrer ?</t>
  </si>
  <si>
    <t>Oui, si la validation se fait ville par ville et pas en expansion prematuree.</t>
  </si>
  <si>
    <t>Priorite 1</t>
  </si>
  <si>
    <t>Prouver que les utilisateurs decident plus vite ou aller.</t>
  </si>
  <si>
    <t>Priorite 2</t>
  </si>
  <si>
    <t>Prouver que les lieux voient une valeur mesurable.</t>
  </si>
  <si>
    <t>Ne pas faire</t>
  </si>
  <si>
    <t>Monetiser le ranking des recommandations.</t>
  </si>
  <si>
    <t>Modifier la vision</t>
  </si>
  <si>
    <t>Passer de recommandation de lieux a carte vivante des moods et presences.</t>
  </si>
  <si>
    <t>Modifier le modele</t>
  </si>
  <si>
    <t>Ajouter churn, couts, besoin de cash, scenarios.</t>
  </si>
  <si>
    <t>Point dur</t>
  </si>
  <si>
    <t>Le Premium utilisateur ne doit pas etre le coeur du BP au depart.</t>
  </si>
  <si>
    <t>Go / No Go 90j</t>
  </si>
  <si>
    <t>Continuer si activation utilisateur + 10 lieux actifs + signaux recurrents.</t>
  </si>
  <si>
    <t>ekho — Plan de validation avant acceleration</t>
  </si>
  <si>
    <t>Hypothese</t>
  </si>
  <si>
    <t>KPI</t>
  </si>
  <si>
    <t>Seuil 90 jours</t>
  </si>
  <si>
    <t>Signal positif</t>
  </si>
  <si>
    <t>Si ca echoue</t>
  </si>
  <si>
    <t>Les gens veulent une aide de decision</t>
  </si>
  <si>
    <t>% sessions avec action lieu</t>
  </si>
  <si>
    <t>&gt;= 30%</t>
  </si>
  <si>
    <t>Sauvegarde, itineraire, appel, partage</t>
  </si>
  <si>
    <t>Simplifier onboarding / moods</t>
  </si>
  <si>
    <t>Haute</t>
  </si>
  <si>
    <t>La densite locale suffit</t>
  </si>
  <si>
    <t>Lieux partenaires coeur de zone</t>
  </si>
  <si>
    <t>&gt;= 40 signes / 20 actifs</t>
  </si>
  <si>
    <t>Les lieux couvrent plusieurs usages</t>
  </si>
  <si>
    <t>Reduire zone, renforcer terrain</t>
  </si>
  <si>
    <t>Les lieux jouent le jeu</t>
  </si>
  <si>
    <t>Partenaires actifs hebdo</t>
  </si>
  <si>
    <t>&gt;= 10</t>
  </si>
  <si>
    <t>Maj ambiance, event, horaire creuse</t>
  </si>
  <si>
    <t>Changer promesse B2B</t>
  </si>
  <si>
    <t>La presence sociale cree de la valeur</t>
  </si>
  <si>
    <t>Opt-in presence anonyme</t>
  </si>
  <si>
    <t>&gt;= 15%</t>
  </si>
  <si>
    <t>Utilisateurs acceptent signal discret</t>
  </si>
  <si>
    <t>Rendre plus rassurant / moins social</t>
  </si>
  <si>
    <t>Moyenne</t>
  </si>
  <si>
    <t>Le B2B peut payer</t>
  </si>
  <si>
    <t>Lieux prets a payer apres test</t>
  </si>
  <si>
    <t>Interet pour stats/heures creuses</t>
  </si>
  <si>
    <t>Baisser prix ou revoir offre</t>
  </si>
  <si>
    <t>L'app devient une habitude</t>
  </si>
  <si>
    <t>Retention D7 / D30</t>
  </si>
  <si>
    <t>D7 &gt;= 20%, D30 &gt;= 8%</t>
  </si>
  <si>
    <t>Retour sans notification forcee</t>
  </si>
  <si>
    <t>Repenser frequence d'usage</t>
  </si>
  <si>
    <t>La donnee devient proprietaire</t>
  </si>
  <si>
    <t>Signaux collectes/semaine</t>
  </si>
  <si>
    <t>&gt;= 1000</t>
  </si>
  <si>
    <t>Moods, choix, refus, affluence</t>
  </si>
  <si>
    <t>Ajouter friction utile de feedback</t>
  </si>
  <si>
    <t>non</t>
  </si>
  <si>
    <t>Proposition Revenu</t>
  </si>
  <si>
    <t xml:space="preserve">Pas d'abonnement / Paiement de token / consommation du scan.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</si>
</sst>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\ \€"/>
  </numFmts>
  <fonts count="21" x14ac:knownFonts="1">
    <font>
      <sz val="11"/>
      <color theme="1"/>
      <name val="Calibri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1A1B2E"/>
      <name val="Calibri"/>
      <family val="2"/>
    </font>
    <font>
      <sz val="10"/>
      <color rgb="FF1A1B2E"/>
      <name val="Calibri"/>
      <family val="2"/>
    </font>
    <font>
      <b/>
      <sz val="10"/>
      <color rgb="FF6B54FF"/>
      <name val="Calibri"/>
      <family val="2"/>
    </font>
    <font>
      <i/>
      <sz val="10"/>
      <color rgb="FF9590A8"/>
      <name val="Calibri"/>
      <family val="2"/>
    </font>
    <font>
      <i/>
      <sz val="9"/>
      <color rgb="FF0000FF"/>
      <name val="Calibri"/>
      <family val="2"/>
    </font>
    <font>
      <b/>
      <sz val="10"/>
      <color rgb="FFFFFFFF"/>
      <name val="Calibri"/>
      <family val="2"/>
    </font>
    <font>
      <i/>
      <sz val="9"/>
      <color rgb="FF1A1B2E"/>
      <name val="Calibri"/>
      <family val="2"/>
    </font>
    <font>
      <sz val="9"/>
      <color rgb="FF0000FF"/>
      <name val="Calibri"/>
      <family val="2"/>
    </font>
    <font>
      <i/>
      <sz val="8"/>
      <color rgb="FF9590A8"/>
      <name val="Calibri"/>
      <family val="2"/>
    </font>
    <font>
      <b/>
      <sz val="9"/>
      <color rgb="FF1A1B2E"/>
      <name val="Calibri"/>
      <family val="2"/>
    </font>
    <font>
      <sz val="9"/>
      <color rgb="FF000000"/>
      <name val="Calibri"/>
      <family val="2"/>
    </font>
    <font>
      <b/>
      <sz val="10"/>
      <color rgb="FF22C55E"/>
      <name val="Calibri"/>
      <family val="2"/>
    </font>
    <font>
      <sz val="10"/>
      <color rgb="FF9590A8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A1B2E"/>
      </patternFill>
    </fill>
    <fill>
      <patternFill patternType="solid">
        <fgColor rgb="FF6B54FF"/>
      </patternFill>
    </fill>
    <fill>
      <patternFill patternType="solid">
        <fgColor rgb="FFFFFFFF"/>
      </patternFill>
    </fill>
    <fill>
      <patternFill patternType="solid">
        <fgColor rgb="FFEDE9FF"/>
      </patternFill>
    </fill>
    <fill>
      <patternFill patternType="solid">
        <fgColor rgb="FFFAFAFA"/>
      </patternFill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0C8FF"/>
      </left>
      <right style="thin">
        <color rgb="FFD0C8FF"/>
      </right>
      <top style="thin">
        <color rgb="FFD0C8FF"/>
      </top>
      <bottom style="thin">
        <color rgb="FFD0C8F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4" borderId="1" xfId="0" applyFont="1" applyFill="1" applyBorder="1" applyAlignment="1">
      <alignment horizontal="left" vertical="center"/>
    </xf>
    <xf numFmtId="3" fontId="10" fillId="4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/>
    </xf>
    <xf numFmtId="3" fontId="13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16" fillId="4" borderId="1" xfId="0" applyNumberFormat="1" applyFont="1" applyFill="1" applyBorder="1" applyAlignment="1">
      <alignment horizontal="center" vertical="center"/>
    </xf>
    <xf numFmtId="164" fontId="17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3" fontId="16" fillId="5" borderId="1" xfId="0" applyNumberFormat="1" applyFont="1" applyFill="1" applyBorder="1" applyAlignment="1">
      <alignment horizontal="center" vertical="center"/>
    </xf>
    <xf numFmtId="0" fontId="19" fillId="8" borderId="0" xfId="0" applyFont="1" applyFill="1"/>
    <xf numFmtId="0" fontId="19" fillId="8" borderId="0" xfId="0" applyFont="1" applyFill="1" applyAlignment="1">
      <alignment wrapText="1"/>
    </xf>
    <xf numFmtId="0" fontId="18" fillId="7" borderId="0" xfId="0" applyFont="1" applyFill="1" applyAlignment="1">
      <alignment wrapText="1"/>
    </xf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19" fillId="9" borderId="0" xfId="0" applyFont="1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8" fillId="2" borderId="1" xfId="0" applyFont="1" applyFill="1" applyBorder="1" applyAlignment="1">
      <alignment horizontal="left" vertical="center"/>
    </xf>
    <xf numFmtId="0" fontId="0" fillId="0" borderId="1" xfId="0" applyBorder="1"/>
    <xf numFmtId="0" fontId="7" fillId="0" borderId="0" xfId="0" applyFont="1" applyAlignment="1">
      <alignment horizontal="left" vertical="center"/>
    </xf>
    <xf numFmtId="0" fontId="18" fillId="7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wrapText="1"/>
    </xf>
    <xf numFmtId="0" fontId="19" fillId="8" borderId="1" xfId="0" applyFont="1" applyFill="1" applyBorder="1" applyAlignment="1">
      <alignment horizontal="center" vertical="center" wrapText="1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10"/>
  <c:chart>
    <c:title>
      <c:tx>
        <c:rich>
          <a:bodyPr/>
          <a:lstStyle/>
          <a:p>
            <a:r>
              <a:rPr lang="fr-FR"/>
              <a:t>CA Annuel Total (EUR)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'Projections financieres'!$B$22</c:f>
              <c:strCache>
                <c:ptCount val="1"/>
                <c:pt idx="0">
                  <c:v>2 887</c:v>
                </c:pt>
              </c:strCache>
            </c:strRef>
          </c:tx>
          <c:spPr>
            <a:solidFill>
              <a:srgbClr val="6B54FF"/>
            </a:solidFill>
            <a:ln>
              <a:solidFill>
                <a:srgbClr val="6B54FF"/>
              </a:solidFill>
              <a:prstDash val="solid"/>
            </a:ln>
          </c:spPr>
          <c:invertIfNegative val="1"/>
          <c:cat>
            <c:strRef>
              <c:f>'Projections financieres'!$B$3:$F$3</c:f>
              <c:strCache>
                <c:ptCount val="5"/>
                <c:pt idx="0">
                  <c:v>An 1</c:v>
                </c:pt>
                <c:pt idx="1">
                  <c:v>An 2</c:v>
                </c:pt>
                <c:pt idx="2">
                  <c:v>An 3</c:v>
                </c:pt>
                <c:pt idx="3">
                  <c:v>An 4</c:v>
                </c:pt>
                <c:pt idx="4">
                  <c:v>An 5</c:v>
                </c:pt>
              </c:strCache>
            </c:strRef>
          </c:cat>
          <c:val>
            <c:numRef>
              <c:f>'Projections financieres'!$B$23</c:f>
              <c:numCache>
                <c:formatCode>#,##0</c:formatCode>
                <c:ptCount val="1"/>
                <c:pt idx="0">
                  <c:v>34641.600000000006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B54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D7-1649-A664-B50A847EB3BA}"/>
            </c:ext>
          </c:extLst>
        </c:ser>
        <c:ser>
          <c:idx val="1"/>
          <c:order val="1"/>
          <c:tx>
            <c:strRef>
              <c:f>'Projections financieres'!$C$22</c:f>
              <c:strCache>
                <c:ptCount val="1"/>
                <c:pt idx="0">
                  <c:v>21 680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'Projections financieres'!$B$3:$F$3</c:f>
              <c:strCache>
                <c:ptCount val="5"/>
                <c:pt idx="0">
                  <c:v>An 1</c:v>
                </c:pt>
                <c:pt idx="1">
                  <c:v>An 2</c:v>
                </c:pt>
                <c:pt idx="2">
                  <c:v>An 3</c:v>
                </c:pt>
                <c:pt idx="3">
                  <c:v>An 4</c:v>
                </c:pt>
                <c:pt idx="4">
                  <c:v>An 5</c:v>
                </c:pt>
              </c:strCache>
            </c:strRef>
          </c:cat>
          <c:val>
            <c:numRef>
              <c:f>'Projections financieres'!$C$23</c:f>
              <c:numCache>
                <c:formatCode>#,##0</c:formatCode>
                <c:ptCount val="1"/>
                <c:pt idx="0">
                  <c:v>260154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7-1649-A664-B50A847EB3BA}"/>
            </c:ext>
          </c:extLst>
        </c:ser>
        <c:ser>
          <c:idx val="2"/>
          <c:order val="2"/>
          <c:tx>
            <c:strRef>
              <c:f>'Projections financieres'!$D$22</c:f>
              <c:strCache>
                <c:ptCount val="1"/>
                <c:pt idx="0">
                  <c:v>71 130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'Projections financieres'!$B$3:$F$3</c:f>
              <c:strCache>
                <c:ptCount val="5"/>
                <c:pt idx="0">
                  <c:v>An 1</c:v>
                </c:pt>
                <c:pt idx="1">
                  <c:v>An 2</c:v>
                </c:pt>
                <c:pt idx="2">
                  <c:v>An 3</c:v>
                </c:pt>
                <c:pt idx="3">
                  <c:v>An 4</c:v>
                </c:pt>
                <c:pt idx="4">
                  <c:v>An 5</c:v>
                </c:pt>
              </c:strCache>
            </c:strRef>
          </c:cat>
          <c:val>
            <c:numRef>
              <c:f>'Projections financieres'!$D$23</c:f>
              <c:numCache>
                <c:formatCode>#,##0</c:formatCode>
                <c:ptCount val="1"/>
                <c:pt idx="0">
                  <c:v>853560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D7-1649-A664-B50A847EB3BA}"/>
            </c:ext>
          </c:extLst>
        </c:ser>
        <c:ser>
          <c:idx val="3"/>
          <c:order val="3"/>
          <c:tx>
            <c:strRef>
              <c:f>'Projections financieres'!$E$22</c:f>
              <c:strCache>
                <c:ptCount val="1"/>
                <c:pt idx="0">
                  <c:v>165 885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'Projections financieres'!$B$3:$F$3</c:f>
              <c:strCache>
                <c:ptCount val="5"/>
                <c:pt idx="0">
                  <c:v>An 1</c:v>
                </c:pt>
                <c:pt idx="1">
                  <c:v>An 2</c:v>
                </c:pt>
                <c:pt idx="2">
                  <c:v>An 3</c:v>
                </c:pt>
                <c:pt idx="3">
                  <c:v>An 4</c:v>
                </c:pt>
                <c:pt idx="4">
                  <c:v>An 5</c:v>
                </c:pt>
              </c:strCache>
            </c:strRef>
          </c:cat>
          <c:val>
            <c:numRef>
              <c:f>'Projections financieres'!$E$23</c:f>
              <c:numCache>
                <c:formatCode>#,##0</c:formatCode>
                <c:ptCount val="1"/>
                <c:pt idx="0">
                  <c:v>1990620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D7-1649-A664-B50A847EB3BA}"/>
            </c:ext>
          </c:extLst>
        </c:ser>
        <c:ser>
          <c:idx val="4"/>
          <c:order val="4"/>
          <c:tx>
            <c:strRef>
              <c:f>'Projections financieres'!$F$22</c:f>
              <c:strCache>
                <c:ptCount val="1"/>
                <c:pt idx="0">
                  <c:v>313 950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'Projections financieres'!$B$3:$F$3</c:f>
              <c:strCache>
                <c:ptCount val="5"/>
                <c:pt idx="0">
                  <c:v>An 1</c:v>
                </c:pt>
                <c:pt idx="1">
                  <c:v>An 2</c:v>
                </c:pt>
                <c:pt idx="2">
                  <c:v>An 3</c:v>
                </c:pt>
                <c:pt idx="3">
                  <c:v>An 4</c:v>
                </c:pt>
                <c:pt idx="4">
                  <c:v>An 5</c:v>
                </c:pt>
              </c:strCache>
            </c:strRef>
          </c:cat>
          <c:val>
            <c:numRef>
              <c:f>'Projections financieres'!$F$23</c:f>
              <c:numCache>
                <c:formatCode>#,##0</c:formatCode>
                <c:ptCount val="1"/>
                <c:pt idx="0">
                  <c:v>3767400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D7-1649-A664-B50A847EB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fr-FR"/>
                  <a:t>Annee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fr-FR"/>
                  <a:t>EUR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CA annuel total vs EBITDA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An 1</c:v>
          </c:tx>
          <c:cat>
            <c:strRef>
              <c:f>'Dashboard V2'!$A$4:$A$5</c:f>
              <c:strCache>
                <c:ptCount val="2"/>
                <c:pt idx="0">
                  <c:v>CA annuel total</c:v>
                </c:pt>
                <c:pt idx="1">
                  <c:v>EBITDA</c:v>
                </c:pt>
              </c:strCache>
            </c:strRef>
          </c:cat>
          <c:val>
            <c:numRef>
              <c:f>'Dashboard V2'!$B$4:$B$5</c:f>
              <c:numCache>
                <c:formatCode>#\ ##0\ \€</c:formatCode>
                <c:ptCount val="2"/>
                <c:pt idx="0">
                  <c:v>22639.200000000001</c:v>
                </c:pt>
                <c:pt idx="1">
                  <c:v>-121409.48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9-FB43-9E11-83A0794523FB}"/>
            </c:ext>
          </c:extLst>
        </c:ser>
        <c:ser>
          <c:idx val="1"/>
          <c:order val="1"/>
          <c:tx>
            <c:v>An 2</c:v>
          </c:tx>
          <c:cat>
            <c:strRef>
              <c:f>'Dashboard V2'!$A$4:$A$5</c:f>
              <c:strCache>
                <c:ptCount val="2"/>
                <c:pt idx="0">
                  <c:v>CA annuel total</c:v>
                </c:pt>
                <c:pt idx="1">
                  <c:v>EBITDA</c:v>
                </c:pt>
              </c:strCache>
            </c:strRef>
          </c:cat>
          <c:val>
            <c:numRef>
              <c:f>'Dashboard V2'!$C$4:$C$5</c:f>
              <c:numCache>
                <c:formatCode>#\ ##0\ \€</c:formatCode>
                <c:ptCount val="2"/>
                <c:pt idx="0">
                  <c:v>134175</c:v>
                </c:pt>
                <c:pt idx="1">
                  <c:v>-219515.25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9-FB43-9E11-83A0794523FB}"/>
            </c:ext>
          </c:extLst>
        </c:ser>
        <c:ser>
          <c:idx val="2"/>
          <c:order val="2"/>
          <c:tx>
            <c:v>An 3</c:v>
          </c:tx>
          <c:cat>
            <c:strRef>
              <c:f>'Dashboard V2'!$A$4:$A$5</c:f>
              <c:strCache>
                <c:ptCount val="2"/>
                <c:pt idx="0">
                  <c:v>CA annuel total</c:v>
                </c:pt>
                <c:pt idx="1">
                  <c:v>EBITDA</c:v>
                </c:pt>
              </c:strCache>
            </c:strRef>
          </c:cat>
          <c:val>
            <c:numRef>
              <c:f>'Dashboard V2'!$D$4:$D$5</c:f>
              <c:numCache>
                <c:formatCode>#\ ##0\ \€</c:formatCode>
                <c:ptCount val="2"/>
                <c:pt idx="0">
                  <c:v>559524</c:v>
                </c:pt>
                <c:pt idx="1">
                  <c:v>-280100.59999999998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89-FB43-9E11-83A0794523FB}"/>
            </c:ext>
          </c:extLst>
        </c:ser>
        <c:ser>
          <c:idx val="3"/>
          <c:order val="3"/>
          <c:tx>
            <c:v>An 4</c:v>
          </c:tx>
          <c:cat>
            <c:strRef>
              <c:f>'Dashboard V2'!$A$4:$A$5</c:f>
              <c:strCache>
                <c:ptCount val="2"/>
                <c:pt idx="0">
                  <c:v>CA annuel total</c:v>
                </c:pt>
                <c:pt idx="1">
                  <c:v>EBITDA</c:v>
                </c:pt>
              </c:strCache>
            </c:strRef>
          </c:cat>
          <c:val>
            <c:numRef>
              <c:f>'Dashboard V2'!$E$4:$E$5</c:f>
              <c:numCache>
                <c:formatCode>#\ ##0\ \€</c:formatCode>
                <c:ptCount val="2"/>
                <c:pt idx="0">
                  <c:v>1450260</c:v>
                </c:pt>
                <c:pt idx="1">
                  <c:v>-309355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89-FB43-9E11-83A0794523FB}"/>
            </c:ext>
          </c:extLst>
        </c:ser>
        <c:ser>
          <c:idx val="4"/>
          <c:order val="4"/>
          <c:tx>
            <c:v>An 5</c:v>
          </c:tx>
          <c:cat>
            <c:strRef>
              <c:f>'Dashboard V2'!$A$4:$A$5</c:f>
              <c:strCache>
                <c:ptCount val="2"/>
                <c:pt idx="0">
                  <c:v>CA annuel total</c:v>
                </c:pt>
                <c:pt idx="1">
                  <c:v>EBITDA</c:v>
                </c:pt>
              </c:strCache>
            </c:strRef>
          </c:cat>
          <c:val>
            <c:numRef>
              <c:f>'Dashboard V2'!$F$4:$F$5</c:f>
              <c:numCache>
                <c:formatCode>#\ ##0\ \€</c:formatCode>
                <c:ptCount val="2"/>
                <c:pt idx="0">
                  <c:v>3016200</c:v>
                </c:pt>
                <c:pt idx="1">
                  <c:v>-189690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89-FB43-9E11-83A079452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\ \€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6480000" cy="360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workbookViewId="0">
      <selection activeCell="D9" sqref="A1:D9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3" width="22" customWidth="1"/>
    <col min="4" max="4" width="42" customWidth="1"/>
  </cols>
  <sheetData>
    <row r="1" spans="1:4" ht="28" customHeight="1" x14ac:dyDescent="0.2">
      <c r="A1" s="37" t="s">
        <v>0</v>
      </c>
      <c r="B1" s="38"/>
      <c r="C1" s="38"/>
      <c r="D1" s="38"/>
    </row>
    <row r="2" spans="1:4" ht="22" customHeight="1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ht="42" customHeight="1" x14ac:dyDescent="0.2">
      <c r="A3" s="2" t="s">
        <v>5</v>
      </c>
      <c r="B3" s="3" t="s">
        <v>6</v>
      </c>
      <c r="C3" s="4" t="s">
        <v>7</v>
      </c>
      <c r="D3" s="5" t="s">
        <v>8</v>
      </c>
    </row>
    <row r="4" spans="1:4" ht="42" customHeight="1" x14ac:dyDescent="0.2">
      <c r="A4" s="6" t="s">
        <v>9</v>
      </c>
      <c r="B4" s="7" t="s">
        <v>10</v>
      </c>
      <c r="C4" s="8" t="s">
        <v>11</v>
      </c>
      <c r="D4" s="9" t="s">
        <v>12</v>
      </c>
    </row>
    <row r="5" spans="1:4" ht="42" customHeight="1" x14ac:dyDescent="0.2">
      <c r="A5" s="2" t="s">
        <v>13</v>
      </c>
      <c r="B5" s="3" t="s">
        <v>14</v>
      </c>
      <c r="C5" s="4" t="s">
        <v>15</v>
      </c>
      <c r="D5" s="5" t="s">
        <v>16</v>
      </c>
    </row>
    <row r="6" spans="1:4" ht="42" customHeight="1" x14ac:dyDescent="0.2">
      <c r="A6" s="6" t="s">
        <v>17</v>
      </c>
      <c r="B6" s="7" t="s">
        <v>18</v>
      </c>
      <c r="C6" s="8" t="s">
        <v>19</v>
      </c>
      <c r="D6" s="9" t="s">
        <v>20</v>
      </c>
    </row>
    <row r="7" spans="1:4" ht="42" customHeight="1" x14ac:dyDescent="0.2">
      <c r="A7" s="2" t="s">
        <v>21</v>
      </c>
      <c r="B7" s="3" t="s">
        <v>22</v>
      </c>
      <c r="C7" s="4" t="s">
        <v>23</v>
      </c>
      <c r="D7" s="5" t="s">
        <v>24</v>
      </c>
    </row>
    <row r="8" spans="1:4" ht="42" customHeight="1" x14ac:dyDescent="0.2">
      <c r="A8" s="6" t="s">
        <v>25</v>
      </c>
      <c r="B8" s="7" t="s">
        <v>26</v>
      </c>
      <c r="C8" s="8" t="s">
        <v>27</v>
      </c>
      <c r="D8" s="9" t="s">
        <v>28</v>
      </c>
    </row>
    <row r="9" spans="1:4" ht="42" customHeight="1" x14ac:dyDescent="0.2">
      <c r="A9" s="2" t="s">
        <v>29</v>
      </c>
      <c r="B9" s="3" t="s">
        <v>30</v>
      </c>
      <c r="C9" s="4" t="s">
        <v>31</v>
      </c>
      <c r="D9" s="5" t="s">
        <v>32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showGridLines="0" workbookViewId="0">
      <selection activeCell="I5" sqref="I5"/>
    </sheetView>
  </sheetViews>
  <sheetFormatPr baseColWidth="10" defaultColWidth="8.83203125" defaultRowHeight="15" x14ac:dyDescent="0.2"/>
  <cols>
    <col min="1" max="1" width="28" customWidth="1"/>
    <col min="2" max="6" width="14" customWidth="1"/>
    <col min="7" max="7" width="28" customWidth="1"/>
  </cols>
  <sheetData>
    <row r="1" spans="1:7" ht="28" customHeight="1" x14ac:dyDescent="0.2">
      <c r="A1" s="37" t="s">
        <v>33</v>
      </c>
      <c r="B1" s="38"/>
      <c r="C1" s="38"/>
      <c r="D1" s="38"/>
      <c r="E1" s="38"/>
      <c r="F1" s="38"/>
      <c r="G1" s="38"/>
    </row>
    <row r="2" spans="1:7" ht="16" customHeight="1" x14ac:dyDescent="0.2">
      <c r="A2" s="41" t="s">
        <v>34</v>
      </c>
      <c r="B2" s="38"/>
      <c r="C2" s="38"/>
      <c r="D2" s="38"/>
      <c r="E2" s="38"/>
      <c r="F2" s="38"/>
      <c r="G2" s="38"/>
    </row>
    <row r="3" spans="1:7" ht="22" customHeight="1" x14ac:dyDescent="0.2">
      <c r="A3" s="10" t="s">
        <v>35</v>
      </c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</row>
    <row r="4" spans="1:7" ht="22" customHeight="1" x14ac:dyDescent="0.2">
      <c r="A4" s="39" t="s">
        <v>42</v>
      </c>
      <c r="B4" s="40"/>
      <c r="C4" s="40"/>
      <c r="D4" s="40"/>
      <c r="E4" s="40"/>
      <c r="F4" s="40"/>
      <c r="G4" s="40"/>
    </row>
    <row r="5" spans="1:7" ht="20" customHeight="1" x14ac:dyDescent="0.2">
      <c r="A5" s="12" t="s">
        <v>43</v>
      </c>
      <c r="B5" s="13">
        <v>10000</v>
      </c>
      <c r="C5" s="13">
        <v>35000</v>
      </c>
      <c r="D5" s="13">
        <v>100000</v>
      </c>
      <c r="E5" s="13">
        <v>250000</v>
      </c>
      <c r="F5" s="13">
        <v>500000</v>
      </c>
      <c r="G5" s="14" t="s">
        <v>44</v>
      </c>
    </row>
    <row r="6" spans="1:7" ht="20" customHeight="1" x14ac:dyDescent="0.2">
      <c r="A6" s="15" t="s">
        <v>45</v>
      </c>
      <c r="B6" s="16">
        <f>B5-B7-B8</f>
        <v>9800</v>
      </c>
      <c r="C6" s="16">
        <f>C5-C7-C8</f>
        <v>33250</v>
      </c>
      <c r="D6" s="16">
        <f>D5-D7-D8</f>
        <v>95000</v>
      </c>
      <c r="E6" s="16">
        <f>E5-E7-E8</f>
        <v>237500</v>
      </c>
      <c r="F6" s="16">
        <f>F5-F7-F8</f>
        <v>475000</v>
      </c>
      <c r="G6" s="14" t="s">
        <v>46</v>
      </c>
    </row>
    <row r="7" spans="1:7" ht="20" customHeight="1" x14ac:dyDescent="0.2">
      <c r="A7" s="12" t="s">
        <v>47</v>
      </c>
      <c r="B7" s="13">
        <v>120</v>
      </c>
      <c r="C7" s="13">
        <v>1050</v>
      </c>
      <c r="D7" s="13">
        <v>3000</v>
      </c>
      <c r="E7" s="13">
        <v>7500</v>
      </c>
      <c r="F7" s="13">
        <v>15000</v>
      </c>
      <c r="G7" s="14" t="s">
        <v>48</v>
      </c>
    </row>
    <row r="8" spans="1:7" ht="20" customHeight="1" x14ac:dyDescent="0.2">
      <c r="A8" s="12" t="s">
        <v>49</v>
      </c>
      <c r="B8" s="13">
        <v>80</v>
      </c>
      <c r="C8" s="13">
        <v>700</v>
      </c>
      <c r="D8" s="13">
        <v>2000</v>
      </c>
      <c r="E8" s="13">
        <v>5000</v>
      </c>
      <c r="F8" s="13">
        <v>10000</v>
      </c>
      <c r="G8" s="14" t="s">
        <v>50</v>
      </c>
    </row>
    <row r="9" spans="1:7" ht="20" customHeight="1" x14ac:dyDescent="0.2">
      <c r="A9" s="15" t="s">
        <v>51</v>
      </c>
      <c r="B9" s="16">
        <f>B7*4.99+B8*15</f>
        <v>1798.8000000000002</v>
      </c>
      <c r="C9" s="16">
        <f>C7*4.99+C8*15</f>
        <v>15739.5</v>
      </c>
      <c r="D9" s="16">
        <f>D7*4.99+D8*15</f>
        <v>44970</v>
      </c>
      <c r="E9" s="16">
        <f>E7*4.99+E8*15</f>
        <v>112425</v>
      </c>
      <c r="F9" s="16">
        <f>F7*4.99+F8*15</f>
        <v>224850</v>
      </c>
      <c r="G9" s="14" t="s">
        <v>52</v>
      </c>
    </row>
    <row r="10" spans="1:7" ht="20" customHeight="1" x14ac:dyDescent="0.2">
      <c r="A10" s="15" t="s">
        <v>53</v>
      </c>
      <c r="B10" s="16">
        <f>B9*12</f>
        <v>21585.600000000002</v>
      </c>
      <c r="C10" s="16">
        <f>C9*12</f>
        <v>188874</v>
      </c>
      <c r="D10" s="16">
        <f>D9*12</f>
        <v>539640</v>
      </c>
      <c r="E10" s="16">
        <f>E9*12</f>
        <v>1349100</v>
      </c>
      <c r="F10" s="16">
        <f>F9*12</f>
        <v>2698200</v>
      </c>
      <c r="G10" s="14" t="s">
        <v>54</v>
      </c>
    </row>
    <row r="11" spans="1:7" ht="20" customHeight="1" x14ac:dyDescent="0.2">
      <c r="A11" s="11"/>
      <c r="B11" s="11"/>
      <c r="C11" s="11"/>
      <c r="D11" s="11"/>
      <c r="E11" s="11"/>
      <c r="F11" s="11"/>
      <c r="G11" s="11"/>
    </row>
    <row r="12" spans="1:7" ht="22" customHeight="1" x14ac:dyDescent="0.2">
      <c r="A12" s="39" t="s">
        <v>55</v>
      </c>
      <c r="B12" s="40"/>
      <c r="C12" s="40"/>
      <c r="D12" s="40"/>
      <c r="E12" s="40"/>
      <c r="F12" s="40"/>
      <c r="G12" s="40"/>
    </row>
    <row r="13" spans="1:7" ht="20" customHeight="1" x14ac:dyDescent="0.2">
      <c r="A13" s="12" t="s">
        <v>56</v>
      </c>
      <c r="B13" s="13">
        <v>40</v>
      </c>
      <c r="C13" s="13">
        <v>120</v>
      </c>
      <c r="D13" s="13">
        <v>400</v>
      </c>
      <c r="E13" s="13">
        <v>900</v>
      </c>
      <c r="F13" s="13">
        <v>1500</v>
      </c>
      <c r="G13" s="14" t="s">
        <v>57</v>
      </c>
    </row>
    <row r="14" spans="1:7" ht="20" customHeight="1" x14ac:dyDescent="0.2">
      <c r="A14" s="12" t="s">
        <v>45</v>
      </c>
      <c r="B14" s="13">
        <v>28</v>
      </c>
      <c r="C14" s="13">
        <v>60</v>
      </c>
      <c r="D14" s="13">
        <v>160</v>
      </c>
      <c r="E14" s="13">
        <v>360</v>
      </c>
      <c r="F14" s="13">
        <v>600</v>
      </c>
      <c r="G14" s="14" t="s">
        <v>35</v>
      </c>
    </row>
    <row r="15" spans="1:7" ht="20" customHeight="1" x14ac:dyDescent="0.2">
      <c r="A15" s="12" t="s">
        <v>58</v>
      </c>
      <c r="B15" s="13">
        <v>6</v>
      </c>
      <c r="C15" s="13">
        <v>24</v>
      </c>
      <c r="D15" s="13">
        <v>80</v>
      </c>
      <c r="E15" s="13">
        <v>180</v>
      </c>
      <c r="F15" s="13">
        <v>300</v>
      </c>
      <c r="G15" s="14" t="s">
        <v>35</v>
      </c>
    </row>
    <row r="16" spans="1:7" ht="20" customHeight="1" x14ac:dyDescent="0.2">
      <c r="A16" s="12" t="s">
        <v>59</v>
      </c>
      <c r="B16" s="13">
        <v>4</v>
      </c>
      <c r="C16" s="13">
        <v>24</v>
      </c>
      <c r="D16" s="13">
        <v>96</v>
      </c>
      <c r="E16" s="13">
        <v>270</v>
      </c>
      <c r="F16" s="13">
        <v>450</v>
      </c>
      <c r="G16" s="14" t="s">
        <v>35</v>
      </c>
    </row>
    <row r="17" spans="1:7" ht="20" customHeight="1" x14ac:dyDescent="0.2">
      <c r="A17" s="12" t="s">
        <v>60</v>
      </c>
      <c r="B17" s="13">
        <v>2</v>
      </c>
      <c r="C17" s="13">
        <v>12</v>
      </c>
      <c r="D17" s="13">
        <v>64</v>
      </c>
      <c r="E17" s="13">
        <v>90</v>
      </c>
      <c r="F17" s="13">
        <v>150</v>
      </c>
      <c r="G17" s="14" t="s">
        <v>35</v>
      </c>
    </row>
    <row r="18" spans="1:7" ht="20" customHeight="1" x14ac:dyDescent="0.2">
      <c r="A18" s="15" t="s">
        <v>61</v>
      </c>
      <c r="B18" s="16">
        <f>B15*49+B16*99+B17*199</f>
        <v>1088</v>
      </c>
      <c r="C18" s="16">
        <f>C15*49+C16*99+C17*199</f>
        <v>5940</v>
      </c>
      <c r="D18" s="16">
        <f>D15*49+D16*99+D17*199</f>
        <v>26160</v>
      </c>
      <c r="E18" s="16">
        <f>E15*49+E16*99+E17*199</f>
        <v>53460</v>
      </c>
      <c r="F18" s="16">
        <f>F15*49+F16*99+F17*199</f>
        <v>89100</v>
      </c>
      <c r="G18" s="14" t="s">
        <v>62</v>
      </c>
    </row>
    <row r="19" spans="1:7" ht="20" customHeight="1" x14ac:dyDescent="0.2">
      <c r="A19" s="15" t="s">
        <v>63</v>
      </c>
      <c r="B19" s="16">
        <f>B18*12</f>
        <v>13056</v>
      </c>
      <c r="C19" s="16">
        <f>C18*12</f>
        <v>71280</v>
      </c>
      <c r="D19" s="16">
        <f>D18*12</f>
        <v>313920</v>
      </c>
      <c r="E19" s="16">
        <f>E18*12</f>
        <v>641520</v>
      </c>
      <c r="F19" s="16">
        <f>F18*12</f>
        <v>1069200</v>
      </c>
      <c r="G19" s="14" t="s">
        <v>54</v>
      </c>
    </row>
    <row r="20" spans="1:7" ht="20" customHeight="1" x14ac:dyDescent="0.2">
      <c r="A20" s="11"/>
      <c r="B20" s="11"/>
      <c r="C20" s="11"/>
      <c r="D20" s="11"/>
      <c r="E20" s="11"/>
      <c r="F20" s="11"/>
      <c r="G20" s="11"/>
    </row>
    <row r="21" spans="1:7" ht="22" customHeight="1" x14ac:dyDescent="0.2">
      <c r="A21" s="39" t="s">
        <v>64</v>
      </c>
      <c r="B21" s="40"/>
      <c r="C21" s="40"/>
      <c r="D21" s="40"/>
      <c r="E21" s="40"/>
      <c r="F21" s="40"/>
      <c r="G21" s="40"/>
    </row>
    <row r="22" spans="1:7" ht="20" customHeight="1" x14ac:dyDescent="0.2">
      <c r="A22" s="15" t="s">
        <v>65</v>
      </c>
      <c r="B22" s="16">
        <f t="shared" ref="B22:F23" si="0">B9+B18</f>
        <v>2886.8</v>
      </c>
      <c r="C22" s="16">
        <f t="shared" si="0"/>
        <v>21679.5</v>
      </c>
      <c r="D22" s="16">
        <f t="shared" si="0"/>
        <v>71130</v>
      </c>
      <c r="E22" s="16">
        <f t="shared" si="0"/>
        <v>165885</v>
      </c>
      <c r="F22" s="16">
        <f t="shared" si="0"/>
        <v>313950</v>
      </c>
      <c r="G22" s="14" t="s">
        <v>66</v>
      </c>
    </row>
    <row r="23" spans="1:7" ht="20" customHeight="1" x14ac:dyDescent="0.2">
      <c r="A23" s="15" t="s">
        <v>67</v>
      </c>
      <c r="B23" s="17">
        <f t="shared" si="0"/>
        <v>34641.600000000006</v>
      </c>
      <c r="C23" s="17">
        <f t="shared" si="0"/>
        <v>260154</v>
      </c>
      <c r="D23" s="17">
        <f t="shared" si="0"/>
        <v>853560</v>
      </c>
      <c r="E23" s="17">
        <f t="shared" si="0"/>
        <v>1990620</v>
      </c>
      <c r="F23" s="17">
        <f t="shared" si="0"/>
        <v>3767400</v>
      </c>
      <c r="G23" s="14" t="s">
        <v>68</v>
      </c>
    </row>
    <row r="24" spans="1:7" ht="20" customHeight="1" x14ac:dyDescent="0.2">
      <c r="A24" s="11"/>
      <c r="B24" s="11"/>
      <c r="C24" s="11"/>
      <c r="D24" s="11"/>
      <c r="E24" s="11"/>
      <c r="F24" s="11"/>
      <c r="G24" s="11"/>
    </row>
    <row r="25" spans="1:7" ht="22" customHeight="1" x14ac:dyDescent="0.2">
      <c r="A25" s="39" t="s">
        <v>69</v>
      </c>
      <c r="B25" s="40"/>
      <c r="C25" s="40"/>
      <c r="D25" s="40"/>
      <c r="E25" s="40"/>
      <c r="F25" s="40"/>
      <c r="G25" s="40"/>
    </row>
    <row r="26" spans="1:7" ht="20" customHeight="1" x14ac:dyDescent="0.2">
      <c r="A26" s="12" t="s">
        <v>70</v>
      </c>
      <c r="B26" s="13">
        <v>1</v>
      </c>
      <c r="C26" s="13">
        <v>3</v>
      </c>
      <c r="D26" s="13">
        <v>8</v>
      </c>
      <c r="E26" s="13">
        <v>15</v>
      </c>
      <c r="F26" s="13">
        <v>25</v>
      </c>
      <c r="G26" s="14" t="s">
        <v>35</v>
      </c>
    </row>
    <row r="27" spans="1:7" ht="20" customHeight="1" x14ac:dyDescent="0.2">
      <c r="A27" s="15" t="s">
        <v>71</v>
      </c>
      <c r="B27" s="16">
        <f>IFERROR(B13/B26,0)</f>
        <v>40</v>
      </c>
      <c r="C27" s="16">
        <f>IFERROR(C13/C26,0)</f>
        <v>40</v>
      </c>
      <c r="D27" s="16">
        <f>IFERROR(D13/D26,0)</f>
        <v>50</v>
      </c>
      <c r="E27" s="16">
        <f>IFERROR(E13/E26,0)</f>
        <v>60</v>
      </c>
      <c r="F27" s="16">
        <f>IFERROR(F13/F26,0)</f>
        <v>60</v>
      </c>
      <c r="G27" s="14" t="s">
        <v>72</v>
      </c>
    </row>
  </sheetData>
  <mergeCells count="6">
    <mergeCell ref="A25:G25"/>
    <mergeCell ref="A1:G1"/>
    <mergeCell ref="A21:G21"/>
    <mergeCell ref="A12:G12"/>
    <mergeCell ref="A4:G4"/>
    <mergeCell ref="A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workbookViewId="0">
      <selection activeCell="A9" sqref="A9"/>
    </sheetView>
  </sheetViews>
  <sheetFormatPr baseColWidth="10" defaultColWidth="8.83203125" defaultRowHeight="15" x14ac:dyDescent="0.2"/>
  <cols>
    <col min="1" max="1" width="34" customWidth="1"/>
    <col min="2" max="2" width="51.1640625" bestFit="1" customWidth="1"/>
    <col min="3" max="5" width="23" customWidth="1"/>
  </cols>
  <sheetData>
    <row r="1" spans="1:5" ht="24" customHeight="1" x14ac:dyDescent="0.25">
      <c r="A1" s="42" t="s">
        <v>73</v>
      </c>
      <c r="B1" s="43"/>
      <c r="C1" s="43"/>
      <c r="D1" s="43"/>
      <c r="E1" s="31"/>
    </row>
    <row r="2" spans="1:5" ht="24" customHeight="1" x14ac:dyDescent="0.2">
      <c r="A2" s="44" t="s">
        <v>74</v>
      </c>
      <c r="B2" s="44" t="s">
        <v>75</v>
      </c>
      <c r="C2" s="44" t="s">
        <v>76</v>
      </c>
      <c r="D2" s="44" t="s">
        <v>77</v>
      </c>
      <c r="E2" s="30"/>
    </row>
    <row r="3" spans="1:5" ht="20" customHeight="1" x14ac:dyDescent="0.2">
      <c r="A3" s="3" t="s">
        <v>78</v>
      </c>
      <c r="B3" s="18" t="s">
        <v>79</v>
      </c>
      <c r="C3" s="18" t="s">
        <v>79</v>
      </c>
      <c r="D3" s="18" t="s">
        <v>79</v>
      </c>
    </row>
    <row r="4" spans="1:5" ht="20" customHeight="1" x14ac:dyDescent="0.2">
      <c r="A4" s="7" t="s">
        <v>80</v>
      </c>
      <c r="B4" s="19">
        <v>3</v>
      </c>
      <c r="C4" s="19"/>
      <c r="D4" s="19" t="s">
        <v>81</v>
      </c>
    </row>
    <row r="5" spans="1:5" ht="20" customHeight="1" x14ac:dyDescent="0.2">
      <c r="A5" s="3" t="s">
        <v>82</v>
      </c>
      <c r="B5" s="20">
        <v>2</v>
      </c>
      <c r="C5" s="20"/>
      <c r="D5" s="20" t="s">
        <v>81</v>
      </c>
    </row>
    <row r="6" spans="1:5" ht="20" customHeight="1" x14ac:dyDescent="0.2">
      <c r="A6" s="7" t="s">
        <v>83</v>
      </c>
      <c r="B6" s="21" t="s">
        <v>79</v>
      </c>
      <c r="C6" s="21" t="s">
        <v>79</v>
      </c>
      <c r="D6" s="21" t="s">
        <v>79</v>
      </c>
    </row>
    <row r="7" spans="1:5" ht="20" customHeight="1" x14ac:dyDescent="0.2">
      <c r="A7" s="3" t="s">
        <v>84</v>
      </c>
      <c r="B7" s="18" t="s">
        <v>79</v>
      </c>
      <c r="C7" s="18" t="s">
        <v>79</v>
      </c>
      <c r="D7" s="18" t="s">
        <v>79</v>
      </c>
    </row>
    <row r="8" spans="1:5" ht="20" customHeight="1" x14ac:dyDescent="0.2">
      <c r="A8" s="7" t="s">
        <v>85</v>
      </c>
      <c r="B8" s="21" t="s">
        <v>347</v>
      </c>
      <c r="C8" s="21" t="s">
        <v>79</v>
      </c>
      <c r="D8" s="21" t="s">
        <v>79</v>
      </c>
    </row>
    <row r="9" spans="1:5" ht="20" customHeight="1" x14ac:dyDescent="0.2">
      <c r="A9" s="3" t="s">
        <v>86</v>
      </c>
      <c r="B9" s="18" t="s">
        <v>347</v>
      </c>
      <c r="C9" s="18" t="s">
        <v>79</v>
      </c>
      <c r="D9" s="18" t="s">
        <v>79</v>
      </c>
    </row>
    <row r="10" spans="1:5" ht="20" customHeight="1" x14ac:dyDescent="0.2">
      <c r="A10" s="7" t="s">
        <v>87</v>
      </c>
      <c r="B10" s="22" t="s">
        <v>88</v>
      </c>
      <c r="C10" s="21" t="s">
        <v>79</v>
      </c>
      <c r="D10" s="21" t="s">
        <v>79</v>
      </c>
    </row>
    <row r="11" spans="1:5" ht="20" customHeight="1" x14ac:dyDescent="0.2">
      <c r="A11" s="3" t="s">
        <v>89</v>
      </c>
      <c r="B11" s="23" t="s">
        <v>88</v>
      </c>
      <c r="C11" s="18" t="s">
        <v>79</v>
      </c>
      <c r="D11" s="18" t="s">
        <v>79</v>
      </c>
    </row>
    <row r="12" spans="1:5" ht="20" customHeight="1" x14ac:dyDescent="0.2">
      <c r="A12" s="7" t="s">
        <v>90</v>
      </c>
      <c r="B12" s="22" t="s">
        <v>88</v>
      </c>
      <c r="C12" s="21" t="s">
        <v>79</v>
      </c>
      <c r="D12" s="21" t="s">
        <v>79</v>
      </c>
    </row>
    <row r="13" spans="1:5" ht="20" customHeight="1" x14ac:dyDescent="0.2">
      <c r="A13" s="3" t="s">
        <v>91</v>
      </c>
      <c r="B13" s="23" t="s">
        <v>88</v>
      </c>
      <c r="C13" s="18" t="s">
        <v>79</v>
      </c>
      <c r="D13" s="18" t="s">
        <v>79</v>
      </c>
    </row>
    <row r="14" spans="1:5" ht="20" customHeight="1" x14ac:dyDescent="0.2">
      <c r="A14" s="7" t="s">
        <v>92</v>
      </c>
      <c r="B14" s="22" t="s">
        <v>88</v>
      </c>
      <c r="C14" s="22" t="s">
        <v>88</v>
      </c>
      <c r="D14" s="21" t="s">
        <v>79</v>
      </c>
    </row>
    <row r="15" spans="1:5" ht="20" customHeight="1" x14ac:dyDescent="0.2">
      <c r="A15" s="3" t="s">
        <v>93</v>
      </c>
      <c r="B15" s="23" t="s">
        <v>88</v>
      </c>
      <c r="C15" s="23" t="s">
        <v>88</v>
      </c>
      <c r="D15" s="18" t="s">
        <v>79</v>
      </c>
    </row>
    <row r="16" spans="1:5" ht="20" customHeight="1" x14ac:dyDescent="0.2">
      <c r="A16" s="7" t="s">
        <v>94</v>
      </c>
      <c r="B16" s="22" t="s">
        <v>88</v>
      </c>
      <c r="C16" s="22" t="s">
        <v>88</v>
      </c>
      <c r="D16" s="21" t="s">
        <v>79</v>
      </c>
    </row>
    <row r="17" spans="1:4" ht="20" customHeight="1" x14ac:dyDescent="0.2">
      <c r="A17" s="3" t="s">
        <v>95</v>
      </c>
      <c r="B17" s="23" t="s">
        <v>88</v>
      </c>
      <c r="C17" s="23" t="s">
        <v>88</v>
      </c>
      <c r="D17" s="18" t="s">
        <v>79</v>
      </c>
    </row>
    <row r="18" spans="1:4" ht="20" customHeight="1" x14ac:dyDescent="0.2">
      <c r="A18" s="7" t="s">
        <v>96</v>
      </c>
      <c r="B18" s="22" t="s">
        <v>88</v>
      </c>
      <c r="C18" s="22" t="s">
        <v>88</v>
      </c>
      <c r="D18" s="21" t="s">
        <v>79</v>
      </c>
    </row>
    <row r="19" spans="1:4" ht="20" customHeight="1" x14ac:dyDescent="0.2">
      <c r="A19" s="3" t="s">
        <v>97</v>
      </c>
      <c r="B19" s="23" t="s">
        <v>88</v>
      </c>
      <c r="C19" s="23" t="s">
        <v>88</v>
      </c>
      <c r="D19" s="18" t="s">
        <v>79</v>
      </c>
    </row>
    <row r="21" spans="1:4" x14ac:dyDescent="0.2">
      <c r="A21" t="s">
        <v>98</v>
      </c>
      <c r="B21" t="s">
        <v>99</v>
      </c>
      <c r="C21" t="s">
        <v>100</v>
      </c>
      <c r="D21" t="s">
        <v>101</v>
      </c>
    </row>
    <row r="22" spans="1:4" x14ac:dyDescent="0.2">
      <c r="A22" t="s">
        <v>102</v>
      </c>
      <c r="B22" t="s">
        <v>103</v>
      </c>
      <c r="C22" t="s">
        <v>104</v>
      </c>
      <c r="D22" t="s">
        <v>105</v>
      </c>
    </row>
    <row r="23" spans="1:4" x14ac:dyDescent="0.2">
      <c r="A23" s="45" t="s">
        <v>348</v>
      </c>
      <c r="B23" s="45" t="s">
        <v>349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showGridLines="0" tabSelected="1" workbookViewId="0">
      <selection activeCell="J10" sqref="J10"/>
    </sheetView>
  </sheetViews>
  <sheetFormatPr baseColWidth="10" defaultColWidth="8.83203125" defaultRowHeight="15" x14ac:dyDescent="0.2"/>
  <cols>
    <col min="1" max="1" width="34" customWidth="1"/>
    <col min="2" max="5" width="23" customWidth="1"/>
  </cols>
  <sheetData>
    <row r="1" spans="1:5" ht="24" customHeight="1" x14ac:dyDescent="0.25">
      <c r="A1" s="42" t="s">
        <v>106</v>
      </c>
      <c r="B1" s="43"/>
      <c r="C1" s="43"/>
      <c r="D1" s="43"/>
      <c r="E1" s="43"/>
    </row>
    <row r="2" spans="1:5" ht="24" customHeight="1" x14ac:dyDescent="0.2">
      <c r="A2" s="44" t="s">
        <v>74</v>
      </c>
      <c r="B2" s="44" t="s">
        <v>75</v>
      </c>
      <c r="C2" s="44" t="s">
        <v>107</v>
      </c>
      <c r="D2" s="44" t="s">
        <v>108</v>
      </c>
      <c r="E2" s="44" t="s">
        <v>109</v>
      </c>
    </row>
    <row r="3" spans="1:5" ht="20" customHeight="1" x14ac:dyDescent="0.2">
      <c r="A3" s="3" t="s">
        <v>110</v>
      </c>
      <c r="B3" s="18" t="s">
        <v>79</v>
      </c>
      <c r="C3" s="18" t="s">
        <v>79</v>
      </c>
      <c r="D3" s="18" t="s">
        <v>79</v>
      </c>
      <c r="E3" s="18" t="s">
        <v>79</v>
      </c>
    </row>
    <row r="4" spans="1:5" ht="20" customHeight="1" x14ac:dyDescent="0.2">
      <c r="A4" s="7" t="s">
        <v>111</v>
      </c>
      <c r="B4" s="21" t="s">
        <v>79</v>
      </c>
      <c r="C4" s="21" t="s">
        <v>79</v>
      </c>
      <c r="D4" s="21" t="s">
        <v>79</v>
      </c>
      <c r="E4" s="21" t="s">
        <v>79</v>
      </c>
    </row>
    <row r="5" spans="1:5" ht="20" customHeight="1" x14ac:dyDescent="0.2">
      <c r="A5" s="3" t="s">
        <v>112</v>
      </c>
      <c r="B5" s="18" t="s">
        <v>79</v>
      </c>
      <c r="C5" s="18" t="s">
        <v>79</v>
      </c>
      <c r="D5" s="18" t="s">
        <v>79</v>
      </c>
      <c r="E5" s="18" t="s">
        <v>79</v>
      </c>
    </row>
    <row r="6" spans="1:5" ht="20" customHeight="1" x14ac:dyDescent="0.2">
      <c r="A6" s="7" t="s">
        <v>113</v>
      </c>
      <c r="B6" s="22" t="s">
        <v>88</v>
      </c>
      <c r="C6" s="21" t="s">
        <v>79</v>
      </c>
      <c r="D6" s="21" t="s">
        <v>79</v>
      </c>
      <c r="E6" s="21" t="s">
        <v>79</v>
      </c>
    </row>
    <row r="7" spans="1:5" ht="20" customHeight="1" x14ac:dyDescent="0.2">
      <c r="A7" s="3" t="s">
        <v>114</v>
      </c>
      <c r="B7" s="23" t="s">
        <v>88</v>
      </c>
      <c r="C7" s="18" t="s">
        <v>79</v>
      </c>
      <c r="D7" s="18" t="s">
        <v>79</v>
      </c>
      <c r="E7" s="18" t="s">
        <v>79</v>
      </c>
    </row>
    <row r="8" spans="1:5" ht="20" customHeight="1" x14ac:dyDescent="0.2">
      <c r="A8" s="7" t="s">
        <v>115</v>
      </c>
      <c r="B8" s="22" t="s">
        <v>88</v>
      </c>
      <c r="C8" s="19" t="s">
        <v>116</v>
      </c>
      <c r="D8" s="19" t="s">
        <v>117</v>
      </c>
      <c r="E8" s="19" t="s">
        <v>118</v>
      </c>
    </row>
    <row r="9" spans="1:5" ht="20" customHeight="1" x14ac:dyDescent="0.2">
      <c r="A9" s="3" t="s">
        <v>119</v>
      </c>
      <c r="B9" s="23" t="s">
        <v>88</v>
      </c>
      <c r="C9" s="18" t="s">
        <v>79</v>
      </c>
      <c r="D9" s="18" t="s">
        <v>79</v>
      </c>
      <c r="E9" s="18" t="s">
        <v>79</v>
      </c>
    </row>
    <row r="10" spans="1:5" ht="20" customHeight="1" x14ac:dyDescent="0.2">
      <c r="A10" s="7" t="s">
        <v>120</v>
      </c>
      <c r="B10" s="22" t="s">
        <v>88</v>
      </c>
      <c r="C10" s="22" t="s">
        <v>88</v>
      </c>
      <c r="D10" s="21" t="s">
        <v>79</v>
      </c>
      <c r="E10" s="21" t="s">
        <v>79</v>
      </c>
    </row>
    <row r="11" spans="1:5" ht="20" customHeight="1" x14ac:dyDescent="0.2">
      <c r="A11" s="3" t="s">
        <v>121</v>
      </c>
      <c r="B11" s="23" t="s">
        <v>88</v>
      </c>
      <c r="C11" s="23" t="s">
        <v>88</v>
      </c>
      <c r="D11" s="18" t="s">
        <v>79</v>
      </c>
      <c r="E11" s="18" t="s">
        <v>79</v>
      </c>
    </row>
    <row r="12" spans="1:5" ht="20" customHeight="1" x14ac:dyDescent="0.2">
      <c r="A12" s="7" t="s">
        <v>122</v>
      </c>
      <c r="B12" s="22" t="s">
        <v>88</v>
      </c>
      <c r="C12" s="22" t="s">
        <v>88</v>
      </c>
      <c r="D12" s="21" t="s">
        <v>79</v>
      </c>
      <c r="E12" s="21" t="s">
        <v>79</v>
      </c>
    </row>
    <row r="13" spans="1:5" ht="20" customHeight="1" x14ac:dyDescent="0.2">
      <c r="A13" s="3" t="s">
        <v>123</v>
      </c>
      <c r="B13" s="23" t="s">
        <v>88</v>
      </c>
      <c r="C13" s="23" t="s">
        <v>88</v>
      </c>
      <c r="D13" s="18" t="s">
        <v>79</v>
      </c>
      <c r="E13" s="18" t="s">
        <v>79</v>
      </c>
    </row>
    <row r="14" spans="1:5" ht="20" customHeight="1" x14ac:dyDescent="0.2">
      <c r="A14" s="7" t="s">
        <v>124</v>
      </c>
      <c r="B14" s="22" t="s">
        <v>88</v>
      </c>
      <c r="C14" s="22" t="s">
        <v>88</v>
      </c>
      <c r="D14" s="21" t="s">
        <v>79</v>
      </c>
      <c r="E14" s="21" t="s">
        <v>79</v>
      </c>
    </row>
    <row r="15" spans="1:5" ht="20" customHeight="1" x14ac:dyDescent="0.2">
      <c r="A15" s="3" t="s">
        <v>125</v>
      </c>
      <c r="B15" s="23" t="s">
        <v>88</v>
      </c>
      <c r="C15" s="23" t="s">
        <v>88</v>
      </c>
      <c r="D15" s="18" t="s">
        <v>79</v>
      </c>
      <c r="E15" s="18" t="s">
        <v>79</v>
      </c>
    </row>
    <row r="16" spans="1:5" ht="20" customHeight="1" x14ac:dyDescent="0.2">
      <c r="A16" s="7" t="s">
        <v>126</v>
      </c>
      <c r="B16" s="22" t="s">
        <v>88</v>
      </c>
      <c r="C16" s="22" t="s">
        <v>88</v>
      </c>
      <c r="D16" s="22" t="s">
        <v>88</v>
      </c>
      <c r="E16" s="21" t="s">
        <v>79</v>
      </c>
    </row>
    <row r="17" spans="1:5" ht="20" customHeight="1" x14ac:dyDescent="0.2">
      <c r="A17" s="3" t="s">
        <v>127</v>
      </c>
      <c r="B17" s="23" t="s">
        <v>88</v>
      </c>
      <c r="C17" s="23" t="s">
        <v>88</v>
      </c>
      <c r="D17" s="23" t="s">
        <v>88</v>
      </c>
      <c r="E17" s="18" t="s">
        <v>79</v>
      </c>
    </row>
    <row r="18" spans="1:5" ht="20" customHeight="1" x14ac:dyDescent="0.2">
      <c r="A18" s="7" t="s">
        <v>128</v>
      </c>
      <c r="B18" s="22" t="s">
        <v>88</v>
      </c>
      <c r="C18" s="22" t="s">
        <v>88</v>
      </c>
      <c r="D18" s="22" t="s">
        <v>88</v>
      </c>
      <c r="E18" s="21" t="s">
        <v>79</v>
      </c>
    </row>
    <row r="19" spans="1:5" ht="20" customHeight="1" x14ac:dyDescent="0.2">
      <c r="A19" s="3" t="s">
        <v>129</v>
      </c>
      <c r="B19" s="23" t="s">
        <v>88</v>
      </c>
      <c r="C19" s="23" t="s">
        <v>88</v>
      </c>
      <c r="D19" s="23" t="s">
        <v>88</v>
      </c>
      <c r="E19" s="18" t="s">
        <v>79</v>
      </c>
    </row>
    <row r="20" spans="1:5" ht="20" customHeight="1" x14ac:dyDescent="0.2">
      <c r="A20" s="7" t="s">
        <v>130</v>
      </c>
      <c r="B20" s="22" t="s">
        <v>88</v>
      </c>
      <c r="C20" s="22" t="s">
        <v>88</v>
      </c>
      <c r="D20" s="22" t="s">
        <v>88</v>
      </c>
      <c r="E20" s="21" t="s">
        <v>79</v>
      </c>
    </row>
    <row r="21" spans="1:5" ht="20" customHeight="1" x14ac:dyDescent="0.2">
      <c r="A21" s="3" t="s">
        <v>131</v>
      </c>
      <c r="B21" s="23" t="s">
        <v>88</v>
      </c>
      <c r="C21" s="23" t="s">
        <v>88</v>
      </c>
      <c r="D21" s="23" t="s">
        <v>88</v>
      </c>
      <c r="E21" s="18" t="s">
        <v>79</v>
      </c>
    </row>
    <row r="22" spans="1:5" x14ac:dyDescent="0.2">
      <c r="A22" t="s">
        <v>132</v>
      </c>
      <c r="B22" t="s">
        <v>133</v>
      </c>
      <c r="C22" t="s">
        <v>134</v>
      </c>
      <c r="D22" t="s">
        <v>135</v>
      </c>
      <c r="E22" t="s">
        <v>136</v>
      </c>
    </row>
    <row r="23" spans="1:5" x14ac:dyDescent="0.2">
      <c r="A23" t="s">
        <v>137</v>
      </c>
      <c r="B23" t="s">
        <v>138</v>
      </c>
      <c r="C23" t="s">
        <v>139</v>
      </c>
      <c r="D23" t="s">
        <v>140</v>
      </c>
      <c r="E23" t="s">
        <v>141</v>
      </c>
    </row>
    <row r="24" spans="1:5" x14ac:dyDescent="0.2">
      <c r="A24" t="s">
        <v>142</v>
      </c>
      <c r="B24" t="s">
        <v>143</v>
      </c>
      <c r="C24" t="s">
        <v>144</v>
      </c>
      <c r="D24" t="s">
        <v>145</v>
      </c>
      <c r="E24" t="s">
        <v>146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showGridLines="0" workbookViewId="0">
      <selection activeCell="B3" sqref="B3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6" customWidth="1"/>
    <col min="4" max="4" width="24" customWidth="1"/>
    <col min="5" max="5" width="42" customWidth="1"/>
  </cols>
  <sheetData>
    <row r="1" spans="1:5" ht="28" customHeight="1" x14ac:dyDescent="0.2">
      <c r="A1" s="37" t="s">
        <v>147</v>
      </c>
      <c r="B1" s="38"/>
      <c r="C1" s="38"/>
      <c r="D1" s="38"/>
      <c r="E1" s="38"/>
    </row>
    <row r="2" spans="1:5" ht="22" customHeight="1" x14ac:dyDescent="0.2">
      <c r="A2" s="10" t="s">
        <v>148</v>
      </c>
      <c r="B2" s="10" t="s">
        <v>149</v>
      </c>
      <c r="C2" s="10" t="s">
        <v>150</v>
      </c>
      <c r="D2" s="10" t="s">
        <v>71</v>
      </c>
      <c r="E2" s="10" t="s">
        <v>41</v>
      </c>
    </row>
    <row r="3" spans="1:5" ht="22" customHeight="1" x14ac:dyDescent="0.2">
      <c r="A3" s="24" t="s">
        <v>36</v>
      </c>
      <c r="B3" s="25">
        <v>1</v>
      </c>
      <c r="C3" s="25">
        <v>40</v>
      </c>
      <c r="D3" s="26">
        <f>IFERROR(C3/B3,0)</f>
        <v>40</v>
      </c>
      <c r="E3" s="5" t="s">
        <v>151</v>
      </c>
    </row>
    <row r="4" spans="1:5" ht="22" customHeight="1" x14ac:dyDescent="0.2">
      <c r="A4" s="27" t="s">
        <v>37</v>
      </c>
      <c r="B4" s="28">
        <v>3</v>
      </c>
      <c r="C4" s="28">
        <v>120</v>
      </c>
      <c r="D4" s="26">
        <f>IFERROR(C4/B4,0)</f>
        <v>40</v>
      </c>
      <c r="E4" s="9" t="s">
        <v>152</v>
      </c>
    </row>
    <row r="5" spans="1:5" ht="22" customHeight="1" x14ac:dyDescent="0.2">
      <c r="A5" s="24" t="s">
        <v>38</v>
      </c>
      <c r="B5" s="25">
        <v>8</v>
      </c>
      <c r="C5" s="25">
        <v>400</v>
      </c>
      <c r="D5" s="26">
        <f>IFERROR(C5/B5,0)</f>
        <v>50</v>
      </c>
      <c r="E5" s="5" t="s">
        <v>153</v>
      </c>
    </row>
    <row r="6" spans="1:5" ht="22" customHeight="1" x14ac:dyDescent="0.2">
      <c r="A6" s="27" t="s">
        <v>39</v>
      </c>
      <c r="B6" s="28">
        <v>15</v>
      </c>
      <c r="C6" s="28">
        <v>900</v>
      </c>
      <c r="D6" s="26">
        <f>IFERROR(C6/B6,0)</f>
        <v>60</v>
      </c>
      <c r="E6" s="9" t="s">
        <v>154</v>
      </c>
    </row>
    <row r="7" spans="1:5" ht="22" customHeight="1" x14ac:dyDescent="0.2">
      <c r="A7" s="24" t="s">
        <v>40</v>
      </c>
      <c r="B7" s="25">
        <v>25</v>
      </c>
      <c r="C7" s="25">
        <v>1500</v>
      </c>
      <c r="D7" s="26">
        <f>IFERROR(C7/B7,0)</f>
        <v>60</v>
      </c>
      <c r="E7" s="5" t="s">
        <v>155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/>
  </sheetViews>
  <sheetFormatPr baseColWidth="10" defaultColWidth="8.83203125" defaultRowHeight="15" x14ac:dyDescent="0.2"/>
  <cols>
    <col min="1" max="1" width="28" customWidth="1"/>
    <col min="2" max="6" width="18" customWidth="1"/>
    <col min="7" max="8" width="32" customWidth="1"/>
  </cols>
  <sheetData>
    <row r="1" spans="1:8" ht="32" customHeight="1" x14ac:dyDescent="0.25">
      <c r="A1" s="31" t="s">
        <v>156</v>
      </c>
      <c r="B1" s="31"/>
      <c r="C1" s="31"/>
      <c r="D1" s="31"/>
      <c r="E1" s="31"/>
      <c r="F1" s="31"/>
      <c r="G1" s="31"/>
      <c r="H1" s="31"/>
    </row>
    <row r="3" spans="1:8" ht="80" x14ac:dyDescent="0.2">
      <c r="A3" s="30" t="s">
        <v>157</v>
      </c>
      <c r="B3" s="30" t="s">
        <v>158</v>
      </c>
      <c r="C3" s="30"/>
      <c r="D3" s="30" t="s">
        <v>159</v>
      </c>
      <c r="E3" s="30" t="s">
        <v>160</v>
      </c>
      <c r="F3" s="30" t="s">
        <v>161</v>
      </c>
      <c r="G3" s="30"/>
      <c r="H3" s="30"/>
    </row>
    <row r="4" spans="1:8" x14ac:dyDescent="0.2">
      <c r="A4" t="s">
        <v>162</v>
      </c>
      <c r="B4" t="s">
        <v>163</v>
      </c>
      <c r="D4" t="s">
        <v>164</v>
      </c>
      <c r="E4" t="s">
        <v>165</v>
      </c>
      <c r="F4" t="s">
        <v>166</v>
      </c>
    </row>
    <row r="5" spans="1:8" x14ac:dyDescent="0.2">
      <c r="A5" t="s">
        <v>167</v>
      </c>
      <c r="B5" t="s">
        <v>168</v>
      </c>
      <c r="D5" t="s">
        <v>169</v>
      </c>
      <c r="E5" t="s">
        <v>170</v>
      </c>
      <c r="F5" t="s">
        <v>171</v>
      </c>
    </row>
    <row r="6" spans="1:8" x14ac:dyDescent="0.2">
      <c r="D6" t="s">
        <v>172</v>
      </c>
      <c r="E6" t="s">
        <v>173</v>
      </c>
      <c r="F6" t="s">
        <v>174</v>
      </c>
    </row>
    <row r="7" spans="1:8" x14ac:dyDescent="0.2">
      <c r="A7" t="s">
        <v>175</v>
      </c>
      <c r="B7" t="s">
        <v>176</v>
      </c>
      <c r="D7" t="s">
        <v>21</v>
      </c>
      <c r="E7" t="s">
        <v>177</v>
      </c>
      <c r="F7" t="s">
        <v>178</v>
      </c>
    </row>
    <row r="8" spans="1:8" x14ac:dyDescent="0.2">
      <c r="B8" t="s">
        <v>179</v>
      </c>
      <c r="D8" t="s">
        <v>25</v>
      </c>
      <c r="E8" t="s">
        <v>180</v>
      </c>
      <c r="F8" t="s">
        <v>181</v>
      </c>
    </row>
    <row r="9" spans="1:8" x14ac:dyDescent="0.2">
      <c r="B9" t="s">
        <v>182</v>
      </c>
    </row>
    <row r="10" spans="1:8" x14ac:dyDescent="0.2">
      <c r="B10" t="s">
        <v>183</v>
      </c>
      <c r="D10" t="s">
        <v>184</v>
      </c>
      <c r="E10" t="s">
        <v>185</v>
      </c>
    </row>
    <row r="11" spans="1:8" x14ac:dyDescent="0.2">
      <c r="B11" t="s">
        <v>186</v>
      </c>
      <c r="D11" t="s">
        <v>187</v>
      </c>
      <c r="E11" t="s">
        <v>188</v>
      </c>
    </row>
    <row r="12" spans="1:8" x14ac:dyDescent="0.2">
      <c r="D12" t="s">
        <v>189</v>
      </c>
      <c r="E12" t="s">
        <v>190</v>
      </c>
    </row>
    <row r="13" spans="1:8" x14ac:dyDescent="0.2">
      <c r="A13" t="s">
        <v>191</v>
      </c>
      <c r="B13" t="s">
        <v>192</v>
      </c>
    </row>
    <row r="14" spans="1:8" x14ac:dyDescent="0.2">
      <c r="A14" t="s">
        <v>193</v>
      </c>
      <c r="B14" t="s">
        <v>194</v>
      </c>
    </row>
    <row r="15" spans="1:8" x14ac:dyDescent="0.2">
      <c r="A15" t="s">
        <v>195</v>
      </c>
      <c r="B15" t="s">
        <v>196</v>
      </c>
    </row>
    <row r="17" spans="1:2" x14ac:dyDescent="0.2">
      <c r="A17" t="s">
        <v>197</v>
      </c>
      <c r="B17" t="s">
        <v>198</v>
      </c>
    </row>
    <row r="18" spans="1:2" x14ac:dyDescent="0.2">
      <c r="A18" t="s">
        <v>199</v>
      </c>
      <c r="B18" t="s">
        <v>200</v>
      </c>
    </row>
    <row r="19" spans="1:2" x14ac:dyDescent="0.2">
      <c r="A19" t="s">
        <v>201</v>
      </c>
      <c r="B19" t="s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/>
  </sheetViews>
  <sheetFormatPr baseColWidth="10" defaultColWidth="8.83203125" defaultRowHeight="15" x14ac:dyDescent="0.2"/>
  <cols>
    <col min="1" max="1" width="28" customWidth="1"/>
    <col min="2" max="6" width="18" customWidth="1"/>
    <col min="7" max="8" width="32" customWidth="1"/>
  </cols>
  <sheetData>
    <row r="1" spans="1:8" ht="32" customHeight="1" x14ac:dyDescent="0.25">
      <c r="A1" s="31" t="s">
        <v>203</v>
      </c>
      <c r="B1" s="31"/>
      <c r="C1" s="31"/>
      <c r="D1" s="31"/>
      <c r="E1" s="31"/>
      <c r="F1" s="31"/>
      <c r="G1" s="31"/>
      <c r="H1" s="31"/>
    </row>
    <row r="3" spans="1:8" ht="16" x14ac:dyDescent="0.2">
      <c r="A3" s="30" t="s">
        <v>204</v>
      </c>
      <c r="B3" s="30" t="s">
        <v>205</v>
      </c>
      <c r="C3" s="30" t="s">
        <v>206</v>
      </c>
      <c r="D3" s="30"/>
      <c r="E3" s="30"/>
      <c r="F3" s="30"/>
      <c r="G3" s="30"/>
      <c r="H3" s="30"/>
    </row>
    <row r="4" spans="1:8" x14ac:dyDescent="0.2">
      <c r="A4" t="s">
        <v>207</v>
      </c>
      <c r="B4">
        <v>4.99</v>
      </c>
      <c r="C4" t="s">
        <v>208</v>
      </c>
    </row>
    <row r="5" spans="1:8" x14ac:dyDescent="0.2">
      <c r="A5" t="s">
        <v>209</v>
      </c>
      <c r="B5">
        <v>9.99</v>
      </c>
      <c r="C5" t="s">
        <v>210</v>
      </c>
    </row>
    <row r="6" spans="1:8" x14ac:dyDescent="0.2">
      <c r="A6" t="s">
        <v>211</v>
      </c>
      <c r="B6">
        <v>49</v>
      </c>
      <c r="C6" t="s">
        <v>212</v>
      </c>
    </row>
    <row r="7" spans="1:8" x14ac:dyDescent="0.2">
      <c r="A7" t="s">
        <v>213</v>
      </c>
      <c r="B7" s="32">
        <v>99</v>
      </c>
      <c r="C7" t="s">
        <v>214</v>
      </c>
    </row>
    <row r="8" spans="1:8" x14ac:dyDescent="0.2">
      <c r="A8" t="s">
        <v>215</v>
      </c>
      <c r="B8" s="32">
        <v>199</v>
      </c>
      <c r="C8" t="s">
        <v>216</v>
      </c>
    </row>
    <row r="9" spans="1:8" x14ac:dyDescent="0.2">
      <c r="A9" t="s">
        <v>217</v>
      </c>
      <c r="B9" s="32">
        <v>0.85</v>
      </c>
      <c r="C9" t="s">
        <v>218</v>
      </c>
    </row>
    <row r="10" spans="1:8" x14ac:dyDescent="0.2">
      <c r="A10" t="s">
        <v>219</v>
      </c>
      <c r="B10" s="32">
        <v>0.8</v>
      </c>
      <c r="C10" t="s">
        <v>220</v>
      </c>
    </row>
    <row r="11" spans="1:8" x14ac:dyDescent="0.2">
      <c r="A11" t="s">
        <v>221</v>
      </c>
      <c r="B11">
        <v>0.04</v>
      </c>
      <c r="C11" t="s">
        <v>222</v>
      </c>
    </row>
    <row r="13" spans="1:8" x14ac:dyDescent="0.2">
      <c r="A13" t="s">
        <v>223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</row>
    <row r="14" spans="1:8" x14ac:dyDescent="0.2">
      <c r="A14" t="s">
        <v>224</v>
      </c>
      <c r="B14">
        <v>10000</v>
      </c>
      <c r="C14">
        <v>35000</v>
      </c>
      <c r="D14">
        <v>100000</v>
      </c>
      <c r="E14">
        <v>250000</v>
      </c>
      <c r="F14">
        <v>500000</v>
      </c>
    </row>
    <row r="15" spans="1:8" x14ac:dyDescent="0.2">
      <c r="A15" t="s">
        <v>225</v>
      </c>
      <c r="B15" s="33">
        <v>1.2E-2</v>
      </c>
      <c r="C15" s="33">
        <v>0.02</v>
      </c>
      <c r="D15" s="33">
        <v>2.5000000000000001E-2</v>
      </c>
      <c r="E15" s="33">
        <v>0.03</v>
      </c>
      <c r="F15" s="33">
        <v>3.5000000000000003E-2</v>
      </c>
    </row>
    <row r="16" spans="1:8" x14ac:dyDescent="0.2">
      <c r="A16" t="s">
        <v>226</v>
      </c>
      <c r="B16" s="33">
        <v>2E-3</v>
      </c>
      <c r="C16" s="33">
        <v>5.0000000000000001E-3</v>
      </c>
      <c r="D16" s="33">
        <v>8.0000000000000002E-3</v>
      </c>
      <c r="E16" s="33">
        <v>1.2E-2</v>
      </c>
      <c r="F16" s="33">
        <v>1.4999999999999999E-2</v>
      </c>
    </row>
    <row r="17" spans="1:6" x14ac:dyDescent="0.2">
      <c r="A17" t="s">
        <v>56</v>
      </c>
      <c r="B17">
        <v>40</v>
      </c>
      <c r="C17">
        <v>120</v>
      </c>
      <c r="D17">
        <v>400</v>
      </c>
      <c r="E17">
        <v>900</v>
      </c>
      <c r="F17">
        <v>1500</v>
      </c>
    </row>
    <row r="18" spans="1:6" x14ac:dyDescent="0.2">
      <c r="A18" t="s">
        <v>227</v>
      </c>
      <c r="B18" s="33">
        <v>0.15</v>
      </c>
      <c r="C18" s="33">
        <v>0.2</v>
      </c>
      <c r="D18" s="33">
        <v>0.2</v>
      </c>
      <c r="E18" s="33">
        <v>0.2</v>
      </c>
      <c r="F18" s="33">
        <v>0.2</v>
      </c>
    </row>
    <row r="19" spans="1:6" x14ac:dyDescent="0.2">
      <c r="A19" t="s">
        <v>228</v>
      </c>
      <c r="B19" s="33">
        <v>0.1</v>
      </c>
      <c r="C19" s="33">
        <v>0.2</v>
      </c>
      <c r="D19" s="33">
        <v>0.24</v>
      </c>
      <c r="E19" s="33">
        <v>0.3</v>
      </c>
      <c r="F19" s="33">
        <v>0.3</v>
      </c>
    </row>
    <row r="20" spans="1:6" x14ac:dyDescent="0.2">
      <c r="A20" t="s">
        <v>229</v>
      </c>
      <c r="B20" s="33">
        <v>0.05</v>
      </c>
      <c r="C20" s="33">
        <v>0.1</v>
      </c>
      <c r="D20" s="33">
        <v>0.16</v>
      </c>
      <c r="E20" s="33">
        <v>0.1</v>
      </c>
      <c r="F20" s="33">
        <v>0.1</v>
      </c>
    </row>
    <row r="21" spans="1:6" x14ac:dyDescent="0.2">
      <c r="A21" t="s">
        <v>149</v>
      </c>
      <c r="B21">
        <v>1</v>
      </c>
      <c r="C21">
        <v>3</v>
      </c>
      <c r="D21">
        <v>8</v>
      </c>
      <c r="E21">
        <v>15</v>
      </c>
      <c r="F21">
        <v>25</v>
      </c>
    </row>
    <row r="22" spans="1:6" x14ac:dyDescent="0.2">
      <c r="A22" t="s">
        <v>230</v>
      </c>
      <c r="B22" s="34">
        <v>90000</v>
      </c>
      <c r="C22" s="34">
        <v>180000</v>
      </c>
      <c r="D22" s="34">
        <v>360000</v>
      </c>
      <c r="E22" s="34">
        <v>700000</v>
      </c>
      <c r="F22" s="34">
        <v>1200000</v>
      </c>
    </row>
    <row r="23" spans="1:6" x14ac:dyDescent="0.2">
      <c r="A23" t="s">
        <v>231</v>
      </c>
      <c r="B23" s="34">
        <v>15000</v>
      </c>
      <c r="C23" s="34">
        <v>60000</v>
      </c>
      <c r="D23" s="34">
        <v>180000</v>
      </c>
      <c r="E23" s="34">
        <v>400000</v>
      </c>
      <c r="F23" s="34">
        <v>750000</v>
      </c>
    </row>
    <row r="24" spans="1:6" x14ac:dyDescent="0.2">
      <c r="A24" t="s">
        <v>232</v>
      </c>
      <c r="B24" s="34">
        <v>25000</v>
      </c>
      <c r="C24" s="34">
        <v>60000</v>
      </c>
      <c r="D24" s="34">
        <v>120000</v>
      </c>
      <c r="E24" s="34">
        <v>250000</v>
      </c>
      <c r="F24" s="34">
        <v>450000</v>
      </c>
    </row>
    <row r="25" spans="1:6" x14ac:dyDescent="0.2">
      <c r="A25" t="s">
        <v>233</v>
      </c>
      <c r="B25" s="34">
        <v>10000</v>
      </c>
      <c r="C25" s="34">
        <v>30000</v>
      </c>
      <c r="D25" s="34">
        <v>80000</v>
      </c>
      <c r="E25" s="34">
        <v>160000</v>
      </c>
      <c r="F25" s="34">
        <v>300000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baseColWidth="10" defaultColWidth="8.83203125" defaultRowHeight="15" x14ac:dyDescent="0.2"/>
  <cols>
    <col min="1" max="1" width="28" customWidth="1"/>
    <col min="2" max="6" width="18" customWidth="1"/>
    <col min="7" max="8" width="32" customWidth="1"/>
  </cols>
  <sheetData>
    <row r="1" spans="1:8" ht="32" customHeight="1" x14ac:dyDescent="0.25">
      <c r="A1" s="31" t="s">
        <v>234</v>
      </c>
      <c r="B1" s="31"/>
      <c r="C1" s="31"/>
      <c r="D1" s="31"/>
      <c r="E1" s="31"/>
      <c r="F1" s="31"/>
      <c r="G1" s="31"/>
      <c r="H1" s="31"/>
    </row>
    <row r="3" spans="1:8" ht="16" x14ac:dyDescent="0.2">
      <c r="A3" s="30" t="s">
        <v>235</v>
      </c>
      <c r="B3" s="30" t="s">
        <v>36</v>
      </c>
      <c r="C3" s="30" t="s">
        <v>37</v>
      </c>
      <c r="D3" s="30" t="s">
        <v>38</v>
      </c>
      <c r="E3" s="30" t="s">
        <v>39</v>
      </c>
      <c r="F3" s="30" t="s">
        <v>40</v>
      </c>
      <c r="G3" s="30" t="s">
        <v>236</v>
      </c>
      <c r="H3" s="30"/>
    </row>
    <row r="4" spans="1:8" x14ac:dyDescent="0.2">
      <c r="A4" s="36" t="s">
        <v>42</v>
      </c>
      <c r="B4" s="36"/>
      <c r="C4" s="36"/>
      <c r="D4" s="36"/>
      <c r="E4" s="36"/>
      <c r="F4" s="36"/>
      <c r="G4" s="36"/>
    </row>
    <row r="5" spans="1:8" x14ac:dyDescent="0.2">
      <c r="A5" t="s">
        <v>224</v>
      </c>
      <c r="B5">
        <f>'Inputs V2'!B14</f>
        <v>10000</v>
      </c>
      <c r="C5">
        <f>'Inputs V2'!C14</f>
        <v>35000</v>
      </c>
      <c r="D5">
        <f>'Inputs V2'!D14</f>
        <v>100000</v>
      </c>
      <c r="E5">
        <f>'Inputs V2'!E14</f>
        <v>250000</v>
      </c>
      <c r="F5">
        <f>'Inputs V2'!F14</f>
        <v>500000</v>
      </c>
      <c r="G5" t="s">
        <v>237</v>
      </c>
    </row>
    <row r="6" spans="1:8" x14ac:dyDescent="0.2">
      <c r="A6" t="s">
        <v>225</v>
      </c>
      <c r="B6" s="33">
        <f>'Inputs V2'!B15</f>
        <v>1.2E-2</v>
      </c>
      <c r="C6" s="33">
        <f>'Inputs V2'!C15</f>
        <v>0.02</v>
      </c>
      <c r="D6" s="33">
        <f>'Inputs V2'!D15</f>
        <v>2.5000000000000001E-2</v>
      </c>
      <c r="E6" s="33">
        <f>'Inputs V2'!E15</f>
        <v>0.03</v>
      </c>
      <c r="F6" s="33">
        <f>'Inputs V2'!F15</f>
        <v>3.5000000000000003E-2</v>
      </c>
      <c r="G6" t="s">
        <v>238</v>
      </c>
    </row>
    <row r="7" spans="1:8" x14ac:dyDescent="0.2">
      <c r="A7" t="s">
        <v>226</v>
      </c>
      <c r="B7" s="33">
        <f>'Inputs V2'!B16</f>
        <v>2E-3</v>
      </c>
      <c r="C7" s="33">
        <f>'Inputs V2'!C16</f>
        <v>5.0000000000000001E-3</v>
      </c>
      <c r="D7" s="33">
        <f>'Inputs V2'!D16</f>
        <v>8.0000000000000002E-3</v>
      </c>
      <c r="E7" s="33">
        <f>'Inputs V2'!E16</f>
        <v>1.2E-2</v>
      </c>
      <c r="F7" s="33">
        <f>'Inputs V2'!F16</f>
        <v>1.4999999999999999E-2</v>
      </c>
      <c r="G7" t="s">
        <v>105</v>
      </c>
    </row>
    <row r="8" spans="1:8" x14ac:dyDescent="0.2">
      <c r="A8" t="s">
        <v>239</v>
      </c>
      <c r="B8">
        <f>B5*B6</f>
        <v>120</v>
      </c>
      <c r="C8">
        <f>C5*C6</f>
        <v>700</v>
      </c>
      <c r="D8">
        <f>D5*D6</f>
        <v>2500</v>
      </c>
      <c r="E8">
        <f>E5*E6</f>
        <v>7500</v>
      </c>
      <c r="F8">
        <f>F5*F6</f>
        <v>17500</v>
      </c>
      <c r="G8" t="s">
        <v>240</v>
      </c>
    </row>
    <row r="9" spans="1:8" x14ac:dyDescent="0.2">
      <c r="A9" t="s">
        <v>241</v>
      </c>
      <c r="B9">
        <f>B5*B7</f>
        <v>20</v>
      </c>
      <c r="C9">
        <f>C5*C7</f>
        <v>175</v>
      </c>
      <c r="D9">
        <f>D5*D7</f>
        <v>800</v>
      </c>
      <c r="E9">
        <f>E5*E7</f>
        <v>3000</v>
      </c>
      <c r="F9">
        <f>F5*F7</f>
        <v>7500</v>
      </c>
      <c r="G9" t="s">
        <v>242</v>
      </c>
    </row>
    <row r="10" spans="1:8" x14ac:dyDescent="0.2">
      <c r="A10" t="s">
        <v>243</v>
      </c>
      <c r="B10" s="34">
        <f>B8*'Inputs V2'!$B$4+B9*'Inputs V2'!$B$5</f>
        <v>798.60000000000014</v>
      </c>
      <c r="C10" s="34">
        <f>C8*'Inputs V2'!$B$4+C9*'Inputs V2'!$B$5</f>
        <v>5241.25</v>
      </c>
      <c r="D10" s="34">
        <f>D8*'Inputs V2'!$B$4+D9*'Inputs V2'!$B$5</f>
        <v>20467</v>
      </c>
      <c r="E10" s="34">
        <f>E8*'Inputs V2'!$B$4+E9*'Inputs V2'!$B$5</f>
        <v>67395</v>
      </c>
      <c r="F10" s="34">
        <f>F8*'Inputs V2'!$B$4+F9*'Inputs V2'!$B$5</f>
        <v>162250</v>
      </c>
      <c r="G10" t="s">
        <v>244</v>
      </c>
    </row>
    <row r="11" spans="1:8" x14ac:dyDescent="0.2">
      <c r="A11" t="s">
        <v>245</v>
      </c>
      <c r="B11" s="34">
        <f>B10*12</f>
        <v>9583.2000000000007</v>
      </c>
      <c r="C11" s="34">
        <f>C10*12</f>
        <v>62895</v>
      </c>
      <c r="D11" s="34">
        <f>D10*12</f>
        <v>245604</v>
      </c>
      <c r="E11" s="34">
        <f>E10*12</f>
        <v>808740</v>
      </c>
      <c r="F11" s="34">
        <f>F10*12</f>
        <v>1947000</v>
      </c>
      <c r="G11" t="s">
        <v>246</v>
      </c>
    </row>
    <row r="13" spans="1:8" x14ac:dyDescent="0.2">
      <c r="A13" s="36" t="s">
        <v>55</v>
      </c>
      <c r="B13" s="36"/>
      <c r="C13" s="36"/>
      <c r="D13" s="36"/>
      <c r="E13" s="36"/>
      <c r="F13" s="36"/>
      <c r="G13" s="36"/>
    </row>
    <row r="14" spans="1:8" x14ac:dyDescent="0.2">
      <c r="A14" t="s">
        <v>56</v>
      </c>
      <c r="B14">
        <f>'Inputs V2'!B17</f>
        <v>40</v>
      </c>
      <c r="C14">
        <f>'Inputs V2'!C17</f>
        <v>120</v>
      </c>
      <c r="D14">
        <f>'Inputs V2'!D17</f>
        <v>400</v>
      </c>
      <c r="E14">
        <f>'Inputs V2'!E17</f>
        <v>900</v>
      </c>
      <c r="F14">
        <f>'Inputs V2'!F17</f>
        <v>1500</v>
      </c>
      <c r="G14" t="s">
        <v>247</v>
      </c>
    </row>
    <row r="15" spans="1:8" x14ac:dyDescent="0.2">
      <c r="A15" t="s">
        <v>248</v>
      </c>
      <c r="B15">
        <f>B14*'Inputs V2'!B18</f>
        <v>6</v>
      </c>
      <c r="C15">
        <f>C14*'Inputs V2'!C18</f>
        <v>24</v>
      </c>
      <c r="D15">
        <f>D14*'Inputs V2'!D18</f>
        <v>80</v>
      </c>
      <c r="E15">
        <f>E14*'Inputs V2'!E18</f>
        <v>180</v>
      </c>
      <c r="F15">
        <f>F14*'Inputs V2'!F18</f>
        <v>300</v>
      </c>
      <c r="G15" t="s">
        <v>249</v>
      </c>
    </row>
    <row r="16" spans="1:8" x14ac:dyDescent="0.2">
      <c r="A16" t="s">
        <v>250</v>
      </c>
      <c r="B16">
        <f>B14*'Inputs V2'!B19</f>
        <v>4</v>
      </c>
      <c r="C16">
        <f>C14*'Inputs V2'!C19</f>
        <v>24</v>
      </c>
      <c r="D16">
        <f>D14*'Inputs V2'!D19</f>
        <v>96</v>
      </c>
      <c r="E16">
        <f>E14*'Inputs V2'!E19</f>
        <v>270</v>
      </c>
      <c r="F16">
        <f>F14*'Inputs V2'!F19</f>
        <v>450</v>
      </c>
      <c r="G16" t="s">
        <v>251</v>
      </c>
    </row>
    <row r="17" spans="1:7" x14ac:dyDescent="0.2">
      <c r="A17" t="s">
        <v>252</v>
      </c>
      <c r="B17">
        <f>B14*'Inputs V2'!B20</f>
        <v>2</v>
      </c>
      <c r="C17">
        <f>C14*'Inputs V2'!C20</f>
        <v>12</v>
      </c>
      <c r="D17">
        <f>D14*'Inputs V2'!D20</f>
        <v>64</v>
      </c>
      <c r="E17">
        <f>E14*'Inputs V2'!E20</f>
        <v>90</v>
      </c>
      <c r="F17">
        <f>F14*'Inputs V2'!F20</f>
        <v>150</v>
      </c>
      <c r="G17" t="s">
        <v>253</v>
      </c>
    </row>
    <row r="18" spans="1:7" x14ac:dyDescent="0.2">
      <c r="A18" t="s">
        <v>254</v>
      </c>
      <c r="B18">
        <f>B14-B15-B16-B17</f>
        <v>28</v>
      </c>
      <c r="C18">
        <f>C14-C15-C16-C17</f>
        <v>60</v>
      </c>
      <c r="D18">
        <f>D14-D15-D16-D17</f>
        <v>160</v>
      </c>
      <c r="E18">
        <f>E14-E15-E16-E17</f>
        <v>360</v>
      </c>
      <c r="F18">
        <f>F14-F15-F16-F17</f>
        <v>600</v>
      </c>
      <c r="G18" t="s">
        <v>255</v>
      </c>
    </row>
    <row r="19" spans="1:7" x14ac:dyDescent="0.2">
      <c r="A19" t="s">
        <v>256</v>
      </c>
      <c r="B19" s="34">
        <f>B15*'Inputs V2'!$B$6+B16*'Inputs V2'!$B$7+B17*'Inputs V2'!$B$8</f>
        <v>1088</v>
      </c>
      <c r="C19" s="34">
        <f>C15*'Inputs V2'!$B$6+C16*'Inputs V2'!$B$7+C17*'Inputs V2'!$B$8</f>
        <v>5940</v>
      </c>
      <c r="D19" s="34">
        <f>D15*'Inputs V2'!$B$6+D16*'Inputs V2'!$B$7+D17*'Inputs V2'!$B$8</f>
        <v>26160</v>
      </c>
      <c r="E19" s="34">
        <f>E15*'Inputs V2'!$B$6+E16*'Inputs V2'!$B$7+E17*'Inputs V2'!$B$8</f>
        <v>53460</v>
      </c>
      <c r="F19" s="34">
        <f>F15*'Inputs V2'!$B$6+F16*'Inputs V2'!$B$7+F17*'Inputs V2'!$B$8</f>
        <v>89100</v>
      </c>
      <c r="G19" t="s">
        <v>257</v>
      </c>
    </row>
    <row r="20" spans="1:7" x14ac:dyDescent="0.2">
      <c r="A20" t="s">
        <v>258</v>
      </c>
      <c r="B20" s="34">
        <f>B19*12</f>
        <v>13056</v>
      </c>
      <c r="C20" s="34">
        <f>C19*12</f>
        <v>71280</v>
      </c>
      <c r="D20" s="34">
        <f>D19*12</f>
        <v>313920</v>
      </c>
      <c r="E20" s="34">
        <f>E19*12</f>
        <v>641520</v>
      </c>
      <c r="F20" s="34">
        <f>F19*12</f>
        <v>1069200</v>
      </c>
      <c r="G20" t="s">
        <v>259</v>
      </c>
    </row>
    <row r="22" spans="1:7" x14ac:dyDescent="0.2">
      <c r="A22" s="36" t="s">
        <v>260</v>
      </c>
      <c r="B22" s="36"/>
      <c r="C22" s="36"/>
      <c r="D22" s="36"/>
      <c r="E22" s="36"/>
      <c r="F22" s="36"/>
      <c r="G22" s="36"/>
    </row>
    <row r="23" spans="1:7" x14ac:dyDescent="0.2">
      <c r="A23" t="s">
        <v>261</v>
      </c>
      <c r="B23" s="34">
        <f>B11+B20</f>
        <v>22639.200000000001</v>
      </c>
      <c r="C23" s="34">
        <f>C11+C20</f>
        <v>134175</v>
      </c>
      <c r="D23" s="34">
        <f>D11+D20</f>
        <v>559524</v>
      </c>
      <c r="E23" s="34">
        <f>E11+E20</f>
        <v>1450260</v>
      </c>
      <c r="F23" s="34">
        <f>F11+F20</f>
        <v>3016200</v>
      </c>
      <c r="G23" t="s">
        <v>262</v>
      </c>
    </row>
    <row r="24" spans="1:7" x14ac:dyDescent="0.2">
      <c r="A24" t="s">
        <v>263</v>
      </c>
      <c r="B24" s="32">
        <f>B20/B23</f>
        <v>0.57669882327997457</v>
      </c>
      <c r="C24" s="32">
        <f>C20/C23</f>
        <v>0.53124650642817217</v>
      </c>
      <c r="D24" s="32">
        <f>D20/D23</f>
        <v>0.56104831964312518</v>
      </c>
      <c r="E24" s="32">
        <f>E20/E23</f>
        <v>0.44234826858632248</v>
      </c>
      <c r="F24" s="32">
        <f>F20/F23</f>
        <v>0.35448577680525162</v>
      </c>
      <c r="G24" t="s">
        <v>264</v>
      </c>
    </row>
    <row r="25" spans="1:7" x14ac:dyDescent="0.2">
      <c r="A25" t="s">
        <v>265</v>
      </c>
      <c r="B25" s="34">
        <f>B11*'Inputs V2'!$B$9+B20*'Inputs V2'!$B$10</f>
        <v>18590.52</v>
      </c>
      <c r="C25" s="34">
        <f>C11*'Inputs V2'!$B$9+C20*'Inputs V2'!$B$10</f>
        <v>110484.75</v>
      </c>
      <c r="D25" s="34">
        <f>D11*'Inputs V2'!$B$9+D20*'Inputs V2'!$B$10</f>
        <v>459899.4</v>
      </c>
      <c r="E25" s="34">
        <f>E11*'Inputs V2'!$B$9+E20*'Inputs V2'!$B$10</f>
        <v>1200645</v>
      </c>
      <c r="F25" s="34">
        <f>F11*'Inputs V2'!$B$9+F20*'Inputs V2'!$B$10</f>
        <v>2510310</v>
      </c>
      <c r="G25" t="s">
        <v>266</v>
      </c>
    </row>
    <row r="26" spans="1:7" x14ac:dyDescent="0.2">
      <c r="A26" t="s">
        <v>267</v>
      </c>
      <c r="B26" s="34">
        <f>'Inputs V2'!B22</f>
        <v>90000</v>
      </c>
      <c r="C26" s="34">
        <f>'Inputs V2'!C22</f>
        <v>180000</v>
      </c>
      <c r="D26" s="34">
        <f>'Inputs V2'!D22</f>
        <v>360000</v>
      </c>
      <c r="E26" s="34">
        <f>'Inputs V2'!E22</f>
        <v>700000</v>
      </c>
      <c r="F26" s="34">
        <f>'Inputs V2'!F22</f>
        <v>1200000</v>
      </c>
      <c r="G26" t="s">
        <v>268</v>
      </c>
    </row>
    <row r="27" spans="1:7" x14ac:dyDescent="0.2">
      <c r="A27" t="s">
        <v>269</v>
      </c>
      <c r="B27" s="34">
        <f>'Inputs V2'!B23</f>
        <v>15000</v>
      </c>
      <c r="C27" s="34">
        <f>'Inputs V2'!C23</f>
        <v>60000</v>
      </c>
      <c r="D27" s="34">
        <f>'Inputs V2'!D23</f>
        <v>180000</v>
      </c>
      <c r="E27" s="34">
        <f>'Inputs V2'!E23</f>
        <v>400000</v>
      </c>
      <c r="F27" s="34">
        <f>'Inputs V2'!F23</f>
        <v>750000</v>
      </c>
      <c r="G27" t="s">
        <v>270</v>
      </c>
    </row>
    <row r="28" spans="1:7" x14ac:dyDescent="0.2">
      <c r="A28" t="s">
        <v>271</v>
      </c>
      <c r="B28" s="34">
        <f>'Inputs V2'!B24</f>
        <v>25000</v>
      </c>
      <c r="C28" s="34">
        <f>'Inputs V2'!C24</f>
        <v>60000</v>
      </c>
      <c r="D28" s="34">
        <f>'Inputs V2'!D24</f>
        <v>120000</v>
      </c>
      <c r="E28" s="34">
        <f>'Inputs V2'!E24</f>
        <v>250000</v>
      </c>
      <c r="F28" s="34">
        <f>'Inputs V2'!F24</f>
        <v>450000</v>
      </c>
      <c r="G28" t="s">
        <v>272</v>
      </c>
    </row>
    <row r="29" spans="1:7" x14ac:dyDescent="0.2">
      <c r="A29" t="s">
        <v>273</v>
      </c>
      <c r="B29" s="34">
        <f>'Inputs V2'!B25</f>
        <v>10000</v>
      </c>
      <c r="C29" s="34">
        <f>'Inputs V2'!C25</f>
        <v>30000</v>
      </c>
      <c r="D29" s="34">
        <f>'Inputs V2'!D25</f>
        <v>80000</v>
      </c>
      <c r="E29" s="34">
        <f>'Inputs V2'!E25</f>
        <v>160000</v>
      </c>
      <c r="F29" s="34">
        <f>'Inputs V2'!F25</f>
        <v>300000</v>
      </c>
      <c r="G29" t="s">
        <v>274</v>
      </c>
    </row>
    <row r="30" spans="1:7" x14ac:dyDescent="0.2">
      <c r="A30" t="s">
        <v>275</v>
      </c>
      <c r="B30" s="34">
        <f>SUM(B26:B29)</f>
        <v>140000</v>
      </c>
      <c r="C30" s="34">
        <f>SUM(C26:C29)</f>
        <v>330000</v>
      </c>
      <c r="D30" s="34">
        <f>SUM(D26:D29)</f>
        <v>740000</v>
      </c>
      <c r="E30" s="34">
        <f>SUM(E26:E29)</f>
        <v>1510000</v>
      </c>
      <c r="F30" s="34">
        <f>SUM(F26:F29)</f>
        <v>2700000</v>
      </c>
      <c r="G30" t="s">
        <v>276</v>
      </c>
    </row>
    <row r="31" spans="1:7" x14ac:dyDescent="0.2">
      <c r="A31" t="s">
        <v>277</v>
      </c>
      <c r="B31" s="34">
        <f>B25-B30</f>
        <v>-121409.48</v>
      </c>
      <c r="C31" s="34">
        <f>C25-C30</f>
        <v>-219515.25</v>
      </c>
      <c r="D31" s="34">
        <f>D25-D30</f>
        <v>-280100.59999999998</v>
      </c>
      <c r="E31" s="34">
        <f>E25-E30</f>
        <v>-309355</v>
      </c>
      <c r="F31" s="34">
        <f>F25-F30</f>
        <v>-189690</v>
      </c>
      <c r="G31" t="s">
        <v>278</v>
      </c>
    </row>
    <row r="32" spans="1:7" x14ac:dyDescent="0.2">
      <c r="A32" t="s">
        <v>279</v>
      </c>
      <c r="B32" s="34">
        <f>MAX(0,-B31)</f>
        <v>121409.48</v>
      </c>
      <c r="C32" s="34">
        <f>MAX(0,B32-C31)</f>
        <v>340924.73</v>
      </c>
      <c r="D32" s="34">
        <f>MAX(0,C32-D31)</f>
        <v>621025.32999999996</v>
      </c>
      <c r="E32" s="34">
        <f>MAX(0,D32-E31)</f>
        <v>930380.33</v>
      </c>
      <c r="F32" s="34">
        <f>MAX(0,E32-F31)</f>
        <v>1120070.33</v>
      </c>
      <c r="G32" t="s">
        <v>280</v>
      </c>
    </row>
    <row r="33" spans="1:7" x14ac:dyDescent="0.2">
      <c r="B33" s="34"/>
      <c r="C33" s="34"/>
      <c r="D33" s="34"/>
      <c r="E33" s="34"/>
      <c r="F33" s="34"/>
    </row>
    <row r="34" spans="1:7" x14ac:dyDescent="0.2">
      <c r="A34" s="36" t="s">
        <v>69</v>
      </c>
      <c r="B34" s="36"/>
      <c r="C34" s="36"/>
      <c r="D34" s="36"/>
      <c r="E34" s="36"/>
      <c r="F34" s="36"/>
      <c r="G34" s="36"/>
    </row>
    <row r="35" spans="1:7" x14ac:dyDescent="0.2">
      <c r="A35" t="s">
        <v>149</v>
      </c>
      <c r="B35">
        <f>'Inputs V2'!B21</f>
        <v>1</v>
      </c>
      <c r="C35">
        <f>'Inputs V2'!C21</f>
        <v>3</v>
      </c>
      <c r="D35">
        <f>'Inputs V2'!D21</f>
        <v>8</v>
      </c>
      <c r="E35">
        <f>'Inputs V2'!E21</f>
        <v>15</v>
      </c>
      <c r="F35">
        <f>'Inputs V2'!F21</f>
        <v>25</v>
      </c>
      <c r="G35" t="s">
        <v>281</v>
      </c>
    </row>
    <row r="36" spans="1:7" x14ac:dyDescent="0.2">
      <c r="A36" t="s">
        <v>282</v>
      </c>
      <c r="B36" s="35">
        <f>B14/B35</f>
        <v>40</v>
      </c>
      <c r="C36" s="35">
        <f>C14/C35</f>
        <v>40</v>
      </c>
      <c r="D36" s="35">
        <f>D14/D35</f>
        <v>50</v>
      </c>
      <c r="E36" s="35">
        <f>E14/E35</f>
        <v>60</v>
      </c>
      <c r="F36" s="35">
        <f>F14/F35</f>
        <v>60</v>
      </c>
      <c r="G36" t="s">
        <v>283</v>
      </c>
    </row>
    <row r="37" spans="1:7" x14ac:dyDescent="0.2">
      <c r="A37" t="s">
        <v>284</v>
      </c>
      <c r="B37" s="35">
        <f>B23/B35</f>
        <v>22639.200000000001</v>
      </c>
      <c r="C37" s="35">
        <f>C23/C35</f>
        <v>44725</v>
      </c>
      <c r="D37" s="35">
        <f>D23/D35</f>
        <v>69940.5</v>
      </c>
      <c r="E37" s="35">
        <f>E23/E35</f>
        <v>96684</v>
      </c>
      <c r="F37" s="35">
        <f>F23/F35</f>
        <v>120648</v>
      </c>
      <c r="G37" t="s">
        <v>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/>
  </sheetViews>
  <sheetFormatPr baseColWidth="10" defaultColWidth="8.83203125" defaultRowHeight="15" x14ac:dyDescent="0.2"/>
  <cols>
    <col min="1" max="1" width="34" customWidth="1"/>
    <col min="2" max="2" width="58" customWidth="1"/>
    <col min="3" max="6" width="18" customWidth="1"/>
    <col min="7" max="8" width="32" customWidth="1"/>
  </cols>
  <sheetData>
    <row r="1" spans="1:8" ht="32" customHeight="1" x14ac:dyDescent="0.25">
      <c r="A1" s="31" t="s">
        <v>286</v>
      </c>
      <c r="B1" s="31"/>
      <c r="C1" s="31"/>
      <c r="D1" s="31"/>
      <c r="E1" s="31"/>
      <c r="F1" s="31"/>
      <c r="G1" s="31"/>
      <c r="H1" s="31"/>
    </row>
    <row r="3" spans="1:8" ht="16" x14ac:dyDescent="0.2">
      <c r="A3" s="30" t="s">
        <v>235</v>
      </c>
      <c r="B3" s="30" t="s">
        <v>36</v>
      </c>
      <c r="C3" s="30" t="s">
        <v>37</v>
      </c>
      <c r="D3" s="30" t="s">
        <v>38</v>
      </c>
      <c r="E3" s="30" t="s">
        <v>39</v>
      </c>
      <c r="F3" s="30" t="s">
        <v>40</v>
      </c>
      <c r="G3" s="30"/>
      <c r="H3" s="30"/>
    </row>
    <row r="4" spans="1:8" x14ac:dyDescent="0.2">
      <c r="A4" t="s">
        <v>261</v>
      </c>
      <c r="B4" s="34">
        <f>'Projections V2'!B23</f>
        <v>22639.200000000001</v>
      </c>
      <c r="C4" s="34">
        <f>'Projections V2'!C23</f>
        <v>134175</v>
      </c>
      <c r="D4" s="34">
        <f>'Projections V2'!D23</f>
        <v>559524</v>
      </c>
      <c r="E4" s="34">
        <f>'Projections V2'!E23</f>
        <v>1450260</v>
      </c>
      <c r="F4" s="34">
        <f>'Projections V2'!F23</f>
        <v>3016200</v>
      </c>
    </row>
    <row r="5" spans="1:8" x14ac:dyDescent="0.2">
      <c r="A5" t="s">
        <v>277</v>
      </c>
      <c r="B5" s="34">
        <f>'Projections V2'!B31</f>
        <v>-121409.48</v>
      </c>
      <c r="C5" s="34">
        <f>'Projections V2'!C31</f>
        <v>-219515.25</v>
      </c>
      <c r="D5" s="34">
        <f>'Projections V2'!D31</f>
        <v>-280100.59999999998</v>
      </c>
      <c r="E5" s="34">
        <f>'Projections V2'!E31</f>
        <v>-309355</v>
      </c>
      <c r="F5" s="34">
        <f>'Projections V2'!F31</f>
        <v>-189690</v>
      </c>
    </row>
    <row r="8" spans="1:8" x14ac:dyDescent="0.2">
      <c r="A8" s="29" t="s">
        <v>287</v>
      </c>
      <c r="B8" s="29" t="s">
        <v>288</v>
      </c>
    </row>
    <row r="9" spans="1:8" x14ac:dyDescent="0.2">
      <c r="A9" t="s">
        <v>289</v>
      </c>
      <c r="B9" t="s">
        <v>290</v>
      </c>
    </row>
    <row r="10" spans="1:8" x14ac:dyDescent="0.2">
      <c r="A10" t="s">
        <v>291</v>
      </c>
      <c r="B10" t="s">
        <v>292</v>
      </c>
    </row>
    <row r="11" spans="1:8" x14ac:dyDescent="0.2">
      <c r="A11" t="s">
        <v>293</v>
      </c>
      <c r="B11" t="s">
        <v>294</v>
      </c>
    </row>
    <row r="12" spans="1:8" x14ac:dyDescent="0.2">
      <c r="A12" t="s">
        <v>295</v>
      </c>
      <c r="B12" t="s">
        <v>296</v>
      </c>
    </row>
    <row r="13" spans="1:8" x14ac:dyDescent="0.2">
      <c r="A13" t="s">
        <v>297</v>
      </c>
      <c r="B13" t="s">
        <v>298</v>
      </c>
    </row>
    <row r="14" spans="1:8" x14ac:dyDescent="0.2">
      <c r="A14" t="s">
        <v>299</v>
      </c>
      <c r="B14" t="s">
        <v>300</v>
      </c>
    </row>
    <row r="15" spans="1:8" x14ac:dyDescent="0.2">
      <c r="A15" t="s">
        <v>301</v>
      </c>
      <c r="B15" t="s">
        <v>302</v>
      </c>
    </row>
    <row r="16" spans="1:8" x14ac:dyDescent="0.2">
      <c r="A16" t="s">
        <v>303</v>
      </c>
      <c r="B16" t="s">
        <v>304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workbookViewId="0"/>
  </sheetViews>
  <sheetFormatPr baseColWidth="10" defaultColWidth="8.83203125" defaultRowHeight="15" x14ac:dyDescent="0.2"/>
  <cols>
    <col min="1" max="1" width="28" customWidth="1"/>
    <col min="2" max="6" width="18" customWidth="1"/>
    <col min="7" max="8" width="32" customWidth="1"/>
  </cols>
  <sheetData>
    <row r="1" spans="1:8" ht="32" customHeight="1" x14ac:dyDescent="0.25">
      <c r="A1" s="31" t="s">
        <v>305</v>
      </c>
      <c r="B1" s="31"/>
      <c r="C1" s="31"/>
      <c r="D1" s="31"/>
      <c r="E1" s="31"/>
      <c r="F1" s="31"/>
      <c r="G1" s="31"/>
      <c r="H1" s="31"/>
    </row>
    <row r="3" spans="1:8" ht="16" x14ac:dyDescent="0.2">
      <c r="A3" s="30" t="s">
        <v>306</v>
      </c>
      <c r="B3" s="30" t="s">
        <v>307</v>
      </c>
      <c r="C3" s="30" t="s">
        <v>308</v>
      </c>
      <c r="D3" s="30" t="s">
        <v>309</v>
      </c>
      <c r="E3" s="30" t="s">
        <v>310</v>
      </c>
      <c r="F3" s="30" t="s">
        <v>189</v>
      </c>
      <c r="G3" s="30"/>
      <c r="H3" s="30"/>
    </row>
    <row r="4" spans="1:8" x14ac:dyDescent="0.2">
      <c r="A4" t="s">
        <v>311</v>
      </c>
      <c r="B4" t="s">
        <v>312</v>
      </c>
      <c r="C4" t="s">
        <v>313</v>
      </c>
      <c r="D4" t="s">
        <v>314</v>
      </c>
      <c r="E4" t="s">
        <v>315</v>
      </c>
      <c r="F4" t="s">
        <v>316</v>
      </c>
    </row>
    <row r="5" spans="1:8" x14ac:dyDescent="0.2">
      <c r="A5" t="s">
        <v>317</v>
      </c>
      <c r="B5" t="s">
        <v>318</v>
      </c>
      <c r="C5" t="s">
        <v>319</v>
      </c>
      <c r="D5" t="s">
        <v>320</v>
      </c>
      <c r="E5" t="s">
        <v>321</v>
      </c>
      <c r="F5" t="s">
        <v>316</v>
      </c>
    </row>
    <row r="6" spans="1:8" x14ac:dyDescent="0.2">
      <c r="A6" t="s">
        <v>322</v>
      </c>
      <c r="B6" t="s">
        <v>323</v>
      </c>
      <c r="C6" t="s">
        <v>324</v>
      </c>
      <c r="D6" t="s">
        <v>325</v>
      </c>
      <c r="E6" t="s">
        <v>326</v>
      </c>
      <c r="F6" t="s">
        <v>316</v>
      </c>
    </row>
    <row r="7" spans="1:8" x14ac:dyDescent="0.2">
      <c r="A7" t="s">
        <v>327</v>
      </c>
      <c r="B7" t="s">
        <v>328</v>
      </c>
      <c r="C7" t="s">
        <v>329</v>
      </c>
      <c r="D7" t="s">
        <v>330</v>
      </c>
      <c r="E7" t="s">
        <v>331</v>
      </c>
      <c r="F7" t="s">
        <v>332</v>
      </c>
    </row>
    <row r="8" spans="1:8" x14ac:dyDescent="0.2">
      <c r="A8" t="s">
        <v>333</v>
      </c>
      <c r="B8" t="s">
        <v>334</v>
      </c>
      <c r="C8" t="s">
        <v>324</v>
      </c>
      <c r="D8" t="s">
        <v>335</v>
      </c>
      <c r="E8" t="s">
        <v>336</v>
      </c>
      <c r="F8" t="s">
        <v>316</v>
      </c>
    </row>
    <row r="9" spans="1:8" x14ac:dyDescent="0.2">
      <c r="A9" t="s">
        <v>337</v>
      </c>
      <c r="B9" t="s">
        <v>338</v>
      </c>
      <c r="C9" t="s">
        <v>339</v>
      </c>
      <c r="D9" t="s">
        <v>340</v>
      </c>
      <c r="E9" t="s">
        <v>341</v>
      </c>
      <c r="F9" t="s">
        <v>316</v>
      </c>
    </row>
    <row r="10" spans="1:8" x14ac:dyDescent="0.2">
      <c r="A10" t="s">
        <v>342</v>
      </c>
      <c r="B10" t="s">
        <v>343</v>
      </c>
      <c r="C10" t="s">
        <v>344</v>
      </c>
      <c r="D10" t="s">
        <v>345</v>
      </c>
      <c r="E10" t="s">
        <v>346</v>
      </c>
      <c r="F10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Roadmap produit</vt:lpstr>
      <vt:lpstr>Projections financieres</vt:lpstr>
      <vt:lpstr>Pricing Utilisateurs</vt:lpstr>
      <vt:lpstr>Pricing Lieux</vt:lpstr>
      <vt:lpstr>Trajectoire geographique</vt:lpstr>
      <vt:lpstr>Vision &amp; These</vt:lpstr>
      <vt:lpstr>Inputs V2</vt:lpstr>
      <vt:lpstr>Projections V2</vt:lpstr>
      <vt:lpstr>Dashboard V2</vt:lpstr>
      <vt:lpstr>Validation 0-90j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anathole.mauguy@outlook.com</cp:lastModifiedBy>
  <dcterms:modified xsi:type="dcterms:W3CDTF">2026-07-13T10:06:25Z</dcterms:modified>
</cp:coreProperties>
</file>